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ata" sheetId="1" state="visible" r:id="rId1"/>
    <sheet xmlns:r="http://schemas.openxmlformats.org/officeDocument/2006/relationships" name="Issue_Track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'Product_Data'!$A$1:$Q$101</definedName>
    <definedName name="_xlnm._FilterDatabase" localSheetId="1" hidden="1">'Issue_Tracker'!$A$1:$J$87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  <font>
      <b val="1"/>
      <sz val="13"/>
    </font>
    <font>
      <b val="1"/>
      <sz val="2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9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9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Listing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'Dashboard'!$A$12:$A$14</f>
            </numRef>
          </cat>
          <val>
            <numRef>
              <f>'Dashboard'!$B$12:$B$14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SKUs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Issue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'Dashboard'!$D$12:$D$17</f>
            </numRef>
          </cat>
          <val>
            <numRef>
              <f>'Dashboard'!$E$12:$E$17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Catalog" displayName="ProductCatalog" ref="A1:Q101" headerRowCount="1">
  <autoFilter ref="A1:Q101"/>
  <tableColumns count="17">
    <tableColumn id="1" name="SKU"/>
    <tableColumn id="2" name="Product Name"/>
    <tableColumn id="3" name="Brand"/>
    <tableColumn id="4" name="Category"/>
    <tableColumn id="5" name="Price (₹)"/>
    <tableColumn id="6" name="Rating"/>
    <tableColumn id="7" name="Reviews"/>
    <tableColumn id="8" name="Availability"/>
    <tableColumn id="9" name="Listing Status"/>
    <tableColumn id="10" name="Title"/>
    <tableColumn id="11" name="Description"/>
    <tableColumn id="12" name="Images"/>
    <tableColumn id="13" name="Bullets"/>
    <tableColumn id="14" name="Attributes"/>
    <tableColumn id="15" name="Content Completeness"/>
    <tableColumn id="16" name="Issue Status"/>
    <tableColumn id="17" name="Priorit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ssueLog" displayName="IssueLog" ref="A1:J87" headerRowCount="1">
  <autoFilter ref="A1:J87"/>
  <tableColumns count="10">
    <tableColumn id="1" name="Issue ID"/>
    <tableColumn id="2" name="SKU"/>
    <tableColumn id="3" name="Product"/>
    <tableColumn id="4" name="Issue Type"/>
    <tableColumn id="5" name="Issue Description"/>
    <tableColumn id="6" name="Priority"/>
    <tableColumn id="7" name="Date Identified"/>
    <tableColumn id="8" name="Status"/>
    <tableColumn id="9" name="Action Required"/>
    <tableColumn id="10" name="Date Resolve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  <col width="12" customWidth="1" min="5" max="5"/>
    <col width="10" customWidth="1" min="6" max="6"/>
    <col width="12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0" customWidth="1" min="15" max="15"/>
    <col width="20" customWidth="1" min="16" max="16"/>
    <col width="12" customWidth="1" min="17" max="17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Price (₹)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Availability</t>
        </is>
      </c>
      <c r="I1" s="1" t="inlineStr">
        <is>
          <t>Listing Status</t>
        </is>
      </c>
      <c r="J1" s="1" t="inlineStr">
        <is>
          <t>Title</t>
        </is>
      </c>
      <c r="K1" s="1" t="inlineStr">
        <is>
          <t>Description</t>
        </is>
      </c>
      <c r="L1" s="1" t="inlineStr">
        <is>
          <t>Images</t>
        </is>
      </c>
      <c r="M1" s="1" t="inlineStr">
        <is>
          <t>Bullets</t>
        </is>
      </c>
      <c r="N1" s="1" t="inlineStr">
        <is>
          <t>Attributes</t>
        </is>
      </c>
      <c r="O1" s="1" t="inlineStr">
        <is>
          <t>Content Completeness</t>
        </is>
      </c>
      <c r="P1" s="1" t="inlineStr">
        <is>
          <t>Issue Status</t>
        </is>
      </c>
      <c r="Q1" s="1" t="inlineStr">
        <is>
          <t>Priority</t>
        </is>
      </c>
    </row>
    <row r="2">
      <c r="A2" t="inlineStr">
        <is>
          <t>SKU001</t>
        </is>
      </c>
      <c r="B2" t="inlineStr">
        <is>
          <t>DermaGlow Hair Serum</t>
        </is>
      </c>
      <c r="C2" t="inlineStr">
        <is>
          <t>DermaGlow</t>
        </is>
      </c>
      <c r="D2" t="inlineStr">
        <is>
          <t>Hair Care</t>
        </is>
      </c>
      <c r="E2" t="n">
        <v>299</v>
      </c>
      <c r="F2" t="n">
        <v>4.5</v>
      </c>
      <c r="G2" t="n">
        <v>2031</v>
      </c>
      <c r="H2" t="inlineStr">
        <is>
          <t>In Stock</t>
        </is>
      </c>
      <c r="I2" t="inlineStr">
        <is>
          <t>Live</t>
        </is>
      </c>
      <c r="J2" t="inlineStr">
        <is>
          <t>Complete</t>
        </is>
      </c>
      <c r="K2" t="inlineStr">
        <is>
          <t>Missing</t>
        </is>
      </c>
      <c r="L2" t="inlineStr">
        <is>
          <t>Complete</t>
        </is>
      </c>
      <c r="M2" t="inlineStr">
        <is>
          <t>Complete</t>
        </is>
      </c>
      <c r="N2" t="inlineStr">
        <is>
          <t>Complete</t>
        </is>
      </c>
      <c r="O2" s="2">
        <f>COUNTIF(J2:N2,"Complete")/5</f>
        <v/>
      </c>
      <c r="P2" t="inlineStr">
        <is>
          <t>Content Issue</t>
        </is>
      </c>
      <c r="Q2" t="inlineStr">
        <is>
          <t>Medium</t>
        </is>
      </c>
    </row>
    <row r="3">
      <c r="A3" t="inlineStr">
        <is>
          <t>SKU002</t>
        </is>
      </c>
      <c r="B3" t="inlineStr">
        <is>
          <t>SkinPure Moisturizer</t>
        </is>
      </c>
      <c r="C3" t="inlineStr">
        <is>
          <t>SkinPure</t>
        </is>
      </c>
      <c r="D3" t="inlineStr">
        <is>
          <t>Skincare</t>
        </is>
      </c>
      <c r="E3" t="n">
        <v>799</v>
      </c>
      <c r="F3" t="n">
        <v>4.2</v>
      </c>
      <c r="G3" t="n">
        <v>4622</v>
      </c>
      <c r="H3" t="inlineStr">
        <is>
          <t>In Stock</t>
        </is>
      </c>
      <c r="I3" t="inlineStr">
        <is>
          <t>Live</t>
        </is>
      </c>
      <c r="J3" t="inlineStr">
        <is>
          <t>Complete</t>
        </is>
      </c>
      <c r="K3" t="inlineStr">
        <is>
          <t>Complete</t>
        </is>
      </c>
      <c r="L3" t="inlineStr">
        <is>
          <t>Complete</t>
        </is>
      </c>
      <c r="M3" t="inlineStr">
        <is>
          <t>Complete</t>
        </is>
      </c>
      <c r="N3" t="inlineStr">
        <is>
          <t>Complete</t>
        </is>
      </c>
      <c r="O3" s="2">
        <f>COUNTIF(J3:N3,"Complete")/5</f>
        <v/>
      </c>
      <c r="P3" t="inlineStr">
        <is>
          <t>No Issue</t>
        </is>
      </c>
      <c r="Q3" t="inlineStr">
        <is>
          <t>Low</t>
        </is>
      </c>
    </row>
    <row r="4">
      <c r="A4" t="inlineStr">
        <is>
          <t>SKU003</t>
        </is>
      </c>
      <c r="B4" t="inlineStr">
        <is>
          <t>SkinPure Conditioner</t>
        </is>
      </c>
      <c r="C4" t="inlineStr">
        <is>
          <t>SkinPure</t>
        </is>
      </c>
      <c r="D4" t="inlineStr">
        <is>
          <t>Hair Care</t>
        </is>
      </c>
      <c r="E4" t="n">
        <v>1199</v>
      </c>
      <c r="F4" t="n">
        <v>3.9</v>
      </c>
      <c r="G4" t="n">
        <v>2301</v>
      </c>
      <c r="H4" t="inlineStr">
        <is>
          <t>Out of Stock</t>
        </is>
      </c>
      <c r="I4" t="inlineStr">
        <is>
          <t>Live</t>
        </is>
      </c>
      <c r="J4" t="inlineStr">
        <is>
          <t>Complete</t>
        </is>
      </c>
      <c r="K4" t="inlineStr">
        <is>
          <t>Complete</t>
        </is>
      </c>
      <c r="L4" t="inlineStr">
        <is>
          <t>Complete</t>
        </is>
      </c>
      <c r="M4" t="inlineStr">
        <is>
          <t>Complete</t>
        </is>
      </c>
      <c r="N4" t="inlineStr">
        <is>
          <t>Complete</t>
        </is>
      </c>
      <c r="O4" s="2">
        <f>COUNTIF(J4:N4,"Complete")/5</f>
        <v/>
      </c>
      <c r="P4" t="inlineStr">
        <is>
          <t>Availability Issue</t>
        </is>
      </c>
      <c r="Q4" t="inlineStr">
        <is>
          <t>High</t>
        </is>
      </c>
    </row>
    <row r="5">
      <c r="A5" t="inlineStr">
        <is>
          <t>SKU004</t>
        </is>
      </c>
      <c r="B5" t="inlineStr">
        <is>
          <t>DermaGlow Conditioner</t>
        </is>
      </c>
      <c r="C5" t="inlineStr">
        <is>
          <t>DermaGlow</t>
        </is>
      </c>
      <c r="D5" t="inlineStr">
        <is>
          <t>Hair Care</t>
        </is>
      </c>
      <c r="E5" t="n">
        <v>1199</v>
      </c>
      <c r="F5" t="n">
        <v>4</v>
      </c>
      <c r="G5" t="n">
        <v>1047</v>
      </c>
      <c r="H5" t="inlineStr">
        <is>
          <t>In Stock</t>
        </is>
      </c>
      <c r="I5" t="inlineStr">
        <is>
          <t>Suppressed</t>
        </is>
      </c>
      <c r="J5" t="inlineStr">
        <is>
          <t>Missing</t>
        </is>
      </c>
      <c r="K5" t="inlineStr">
        <is>
          <t>Complete</t>
        </is>
      </c>
      <c r="L5" t="inlineStr">
        <is>
          <t>Complete</t>
        </is>
      </c>
      <c r="M5" t="inlineStr">
        <is>
          <t>Complete</t>
        </is>
      </c>
      <c r="N5" t="inlineStr">
        <is>
          <t>Complete</t>
        </is>
      </c>
      <c r="O5" s="2">
        <f>COUNTIF(J5:N5,"Complete")/5</f>
        <v/>
      </c>
      <c r="P5" t="inlineStr">
        <is>
          <t>Listing Issue</t>
        </is>
      </c>
      <c r="Q5" t="inlineStr">
        <is>
          <t>High</t>
        </is>
      </c>
    </row>
    <row r="6">
      <c r="A6" t="inlineStr">
        <is>
          <t>SKU005</t>
        </is>
      </c>
      <c r="B6" t="inlineStr">
        <is>
          <t>SkinPure Face Wash</t>
        </is>
      </c>
      <c r="C6" t="inlineStr">
        <is>
          <t>SkinPure</t>
        </is>
      </c>
      <c r="D6" t="inlineStr">
        <is>
          <t>Skincare</t>
        </is>
      </c>
      <c r="E6" t="n">
        <v>499</v>
      </c>
      <c r="F6" t="n">
        <v>4.9</v>
      </c>
      <c r="G6" t="n">
        <v>1932</v>
      </c>
      <c r="H6" t="inlineStr">
        <is>
          <t>In Stock</t>
        </is>
      </c>
      <c r="I6" t="inlineStr">
        <is>
          <t>Inactive</t>
        </is>
      </c>
      <c r="J6" t="inlineStr">
        <is>
          <t>Complete</t>
        </is>
      </c>
      <c r="K6" t="inlineStr">
        <is>
          <t>Complete</t>
        </is>
      </c>
      <c r="L6" t="inlineStr">
        <is>
          <t>Complete</t>
        </is>
      </c>
      <c r="M6" t="inlineStr">
        <is>
          <t>Complete</t>
        </is>
      </c>
      <c r="N6" t="inlineStr">
        <is>
          <t>Complete</t>
        </is>
      </c>
      <c r="O6" s="2">
        <f>COUNTIF(J6:N6,"Complete")/5</f>
        <v/>
      </c>
      <c r="P6" t="inlineStr">
        <is>
          <t>Listing Issue</t>
        </is>
      </c>
      <c r="Q6" t="inlineStr">
        <is>
          <t>Medium</t>
        </is>
      </c>
    </row>
    <row r="7">
      <c r="A7" t="inlineStr">
        <is>
          <t>SKU006</t>
        </is>
      </c>
      <c r="B7" t="inlineStr">
        <is>
          <t>DermaGlow Hair Serum</t>
        </is>
      </c>
      <c r="C7" t="inlineStr">
        <is>
          <t>DermaGlow</t>
        </is>
      </c>
      <c r="D7" t="inlineStr">
        <is>
          <t>Hair Care</t>
        </is>
      </c>
      <c r="E7" t="n">
        <v>899</v>
      </c>
      <c r="F7" t="n">
        <v>4.3</v>
      </c>
      <c r="G7" t="n">
        <v>4400</v>
      </c>
      <c r="H7" t="inlineStr">
        <is>
          <t>In Stock</t>
        </is>
      </c>
      <c r="I7" t="inlineStr">
        <is>
          <t>Live</t>
        </is>
      </c>
      <c r="J7" t="inlineStr">
        <is>
          <t>Complete</t>
        </is>
      </c>
      <c r="K7" t="inlineStr">
        <is>
          <t>Missing</t>
        </is>
      </c>
      <c r="L7" t="inlineStr">
        <is>
          <t>Complete</t>
        </is>
      </c>
      <c r="M7" t="inlineStr">
        <is>
          <t>Complete</t>
        </is>
      </c>
      <c r="N7" t="inlineStr">
        <is>
          <t>Complete</t>
        </is>
      </c>
      <c r="O7" s="2">
        <f>COUNTIF(J7:N7,"Complete")/5</f>
        <v/>
      </c>
      <c r="P7" t="inlineStr">
        <is>
          <t>Content Issue</t>
        </is>
      </c>
      <c r="Q7" t="inlineStr">
        <is>
          <t>Medium</t>
        </is>
      </c>
    </row>
    <row r="8">
      <c r="A8" t="inlineStr">
        <is>
          <t>SKU007</t>
        </is>
      </c>
      <c r="B8" t="inlineStr">
        <is>
          <t>DermaGlow Body Wash</t>
        </is>
      </c>
      <c r="C8" t="inlineStr">
        <is>
          <t>DermaGlow</t>
        </is>
      </c>
      <c r="D8" t="inlineStr">
        <is>
          <t>Body Care</t>
        </is>
      </c>
      <c r="E8" t="n">
        <v>449</v>
      </c>
      <c r="F8" t="n">
        <v>4.6</v>
      </c>
      <c r="G8" t="n">
        <v>2609</v>
      </c>
      <c r="H8" t="inlineStr">
        <is>
          <t>In Stock</t>
        </is>
      </c>
      <c r="I8" t="inlineStr">
        <is>
          <t>Live</t>
        </is>
      </c>
      <c r="J8" t="inlineStr">
        <is>
          <t>Missing</t>
        </is>
      </c>
      <c r="K8" t="inlineStr">
        <is>
          <t>Complete</t>
        </is>
      </c>
      <c r="L8" t="inlineStr">
        <is>
          <t>Complete</t>
        </is>
      </c>
      <c r="M8" t="inlineStr">
        <is>
          <t>Complete</t>
        </is>
      </c>
      <c r="N8" t="inlineStr">
        <is>
          <t>Complete</t>
        </is>
      </c>
      <c r="O8" s="2">
        <f>COUNTIF(J8:N8,"Complete")/5</f>
        <v/>
      </c>
      <c r="P8" t="inlineStr">
        <is>
          <t>Content Issue</t>
        </is>
      </c>
      <c r="Q8" t="inlineStr">
        <is>
          <t>Medium</t>
        </is>
      </c>
    </row>
    <row r="9">
      <c r="A9" t="inlineStr">
        <is>
          <t>SKU008</t>
        </is>
      </c>
      <c r="B9" t="inlineStr">
        <is>
          <t>DermaNest Hand Cream</t>
        </is>
      </c>
      <c r="C9" t="inlineStr">
        <is>
          <t>DermaNest</t>
        </is>
      </c>
      <c r="D9" t="inlineStr">
        <is>
          <t>Body Care</t>
        </is>
      </c>
      <c r="E9" t="n">
        <v>399</v>
      </c>
      <c r="F9" t="n">
        <v>3.7</v>
      </c>
      <c r="G9" t="n">
        <v>2045</v>
      </c>
      <c r="H9" t="inlineStr">
        <is>
          <t>In Stock</t>
        </is>
      </c>
      <c r="I9" t="inlineStr">
        <is>
          <t>Live</t>
        </is>
      </c>
      <c r="J9" t="inlineStr">
        <is>
          <t>Complete</t>
        </is>
      </c>
      <c r="K9" t="inlineStr">
        <is>
          <t>Complete</t>
        </is>
      </c>
      <c r="L9" t="inlineStr">
        <is>
          <t>Complete</t>
        </is>
      </c>
      <c r="M9" t="inlineStr">
        <is>
          <t>Complete</t>
        </is>
      </c>
      <c r="N9" t="inlineStr">
        <is>
          <t>Missing</t>
        </is>
      </c>
      <c r="O9" s="2">
        <f>COUNTIF(J9:N9,"Complete")/5</f>
        <v/>
      </c>
      <c r="P9" t="inlineStr">
        <is>
          <t>Content Issue</t>
        </is>
      </c>
      <c r="Q9" t="inlineStr">
        <is>
          <t>Medium</t>
        </is>
      </c>
    </row>
    <row r="10">
      <c r="A10" t="inlineStr">
        <is>
          <t>SKU009</t>
        </is>
      </c>
      <c r="B10" t="inlineStr">
        <is>
          <t>GlowLab Vitamin C Serum</t>
        </is>
      </c>
      <c r="C10" t="inlineStr">
        <is>
          <t>GlowLab</t>
        </is>
      </c>
      <c r="D10" t="inlineStr">
        <is>
          <t>Skincare</t>
        </is>
      </c>
      <c r="E10" t="n">
        <v>699</v>
      </c>
      <c r="F10" t="n">
        <v>3.4</v>
      </c>
      <c r="G10" t="n">
        <v>410</v>
      </c>
      <c r="H10" t="inlineStr">
        <is>
          <t>Out of Stock</t>
        </is>
      </c>
      <c r="I10" t="inlineStr">
        <is>
          <t>Inactive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Complete</t>
        </is>
      </c>
      <c r="M10" t="inlineStr">
        <is>
          <t>Complete</t>
        </is>
      </c>
      <c r="N10" t="inlineStr">
        <is>
          <t>Complete</t>
        </is>
      </c>
      <c r="O10" s="2">
        <f>COUNTIF(J10:N10,"Complete")/5</f>
        <v/>
      </c>
      <c r="P10" t="inlineStr">
        <is>
          <t>Listing Issue</t>
        </is>
      </c>
      <c r="Q10" t="inlineStr">
        <is>
          <t>High</t>
        </is>
      </c>
    </row>
    <row r="11">
      <c r="A11" t="inlineStr">
        <is>
          <t>SKU010</t>
        </is>
      </c>
      <c r="B11" t="inlineStr">
        <is>
          <t>GlowLab Niacinamide Serum</t>
        </is>
      </c>
      <c r="C11" t="inlineStr">
        <is>
          <t>GlowLab</t>
        </is>
      </c>
      <c r="D11" t="inlineStr">
        <is>
          <t>Skincare</t>
        </is>
      </c>
      <c r="E11" t="n">
        <v>299</v>
      </c>
      <c r="F11" t="n">
        <v>4.4</v>
      </c>
      <c r="G11" t="n">
        <v>963</v>
      </c>
      <c r="H11" t="inlineStr">
        <is>
          <t>In Stock</t>
        </is>
      </c>
      <c r="I11" t="inlineStr">
        <is>
          <t>Live</t>
        </is>
      </c>
      <c r="J11" t="inlineStr">
        <is>
          <t>Complete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Complete</t>
        </is>
      </c>
      <c r="N11" t="inlineStr">
        <is>
          <t>Complete</t>
        </is>
      </c>
      <c r="O11" s="2">
        <f>COUNTIF(J11:N11,"Complete")/5</f>
        <v/>
      </c>
      <c r="P11" t="inlineStr">
        <is>
          <t>No Issue</t>
        </is>
      </c>
      <c r="Q11" t="inlineStr">
        <is>
          <t>Low</t>
        </is>
      </c>
    </row>
    <row r="12">
      <c r="A12" t="inlineStr">
        <is>
          <t>SKU011</t>
        </is>
      </c>
      <c r="B12" t="inlineStr">
        <is>
          <t>Aurelia Care Shampoo</t>
        </is>
      </c>
      <c r="C12" t="inlineStr">
        <is>
          <t>Aurelia Care</t>
        </is>
      </c>
      <c r="D12" t="inlineStr">
        <is>
          <t>Hair Care</t>
        </is>
      </c>
      <c r="E12" t="n">
        <v>799</v>
      </c>
      <c r="F12" t="n">
        <v>4.5</v>
      </c>
      <c r="G12" t="n">
        <v>4183</v>
      </c>
      <c r="H12" t="inlineStr">
        <is>
          <t>Out of Stock</t>
        </is>
      </c>
      <c r="I12" t="inlineStr">
        <is>
          <t>Suppressed</t>
        </is>
      </c>
      <c r="J12" t="inlineStr">
        <is>
          <t>Complete</t>
        </is>
      </c>
      <c r="K12" t="inlineStr">
        <is>
          <t>Complete</t>
        </is>
      </c>
      <c r="L12" t="inlineStr">
        <is>
          <t>Complete</t>
        </is>
      </c>
      <c r="M12" t="inlineStr">
        <is>
          <t>Complete</t>
        </is>
      </c>
      <c r="N12" t="inlineStr">
        <is>
          <t>Missing</t>
        </is>
      </c>
      <c r="O12" s="2">
        <f>COUNTIF(J12:N12,"Complete")/5</f>
        <v/>
      </c>
      <c r="P12" t="inlineStr">
        <is>
          <t>Listing Issue</t>
        </is>
      </c>
      <c r="Q12" t="inlineStr">
        <is>
          <t>High</t>
        </is>
      </c>
    </row>
    <row r="13">
      <c r="A13" t="inlineStr">
        <is>
          <t>SKU012</t>
        </is>
      </c>
      <c r="B13" t="inlineStr">
        <is>
          <t>GlowLab Conditioner</t>
        </is>
      </c>
      <c r="C13" t="inlineStr">
        <is>
          <t>GlowLab</t>
        </is>
      </c>
      <c r="D13" t="inlineStr">
        <is>
          <t>Hair Care</t>
        </is>
      </c>
      <c r="E13" t="n">
        <v>299</v>
      </c>
      <c r="F13" t="n">
        <v>4.2</v>
      </c>
      <c r="G13" t="n">
        <v>4027</v>
      </c>
      <c r="H13" t="inlineStr">
        <is>
          <t>Out of Stock</t>
        </is>
      </c>
      <c r="I13" t="inlineStr">
        <is>
          <t>Live</t>
        </is>
      </c>
      <c r="J13" t="inlineStr">
        <is>
          <t>Complete</t>
        </is>
      </c>
      <c r="K13" t="inlineStr">
        <is>
          <t>Complete</t>
        </is>
      </c>
      <c r="L13" t="inlineStr">
        <is>
          <t>Complete</t>
        </is>
      </c>
      <c r="M13" t="inlineStr">
        <is>
          <t>Complete</t>
        </is>
      </c>
      <c r="N13" t="inlineStr">
        <is>
          <t>Complete</t>
        </is>
      </c>
      <c r="O13" s="2">
        <f>COUNTIF(J13:N13,"Complete")/5</f>
        <v/>
      </c>
      <c r="P13" t="inlineStr">
        <is>
          <t>Availability Issue</t>
        </is>
      </c>
      <c r="Q13" t="inlineStr">
        <is>
          <t>High</t>
        </is>
      </c>
    </row>
    <row r="14">
      <c r="A14" t="inlineStr">
        <is>
          <t>SKU013</t>
        </is>
      </c>
      <c r="B14" t="inlineStr">
        <is>
          <t>DermaGlow Sunscreen</t>
        </is>
      </c>
      <c r="C14" t="inlineStr">
        <is>
          <t>DermaGlow</t>
        </is>
      </c>
      <c r="D14" t="inlineStr">
        <is>
          <t>Skincare</t>
        </is>
      </c>
      <c r="E14" t="n">
        <v>1199</v>
      </c>
      <c r="F14" t="n">
        <v>4</v>
      </c>
      <c r="G14" t="n">
        <v>591</v>
      </c>
      <c r="H14" t="inlineStr">
        <is>
          <t>In Stock</t>
        </is>
      </c>
      <c r="I14" t="inlineStr">
        <is>
          <t>Suppressed</t>
        </is>
      </c>
      <c r="J14" t="inlineStr">
        <is>
          <t>Complete</t>
        </is>
      </c>
      <c r="K14" t="inlineStr">
        <is>
          <t>Complete</t>
        </is>
      </c>
      <c r="L14" t="inlineStr">
        <is>
          <t>Missing</t>
        </is>
      </c>
      <c r="M14" t="inlineStr">
        <is>
          <t>Complete</t>
        </is>
      </c>
      <c r="N14" t="inlineStr">
        <is>
          <t>Missing</t>
        </is>
      </c>
      <c r="O14" s="2">
        <f>COUNTIF(J14:N14,"Complete")/5</f>
        <v/>
      </c>
      <c r="P14" t="inlineStr">
        <is>
          <t>Listing Issue</t>
        </is>
      </c>
      <c r="Q14" t="inlineStr">
        <is>
          <t>High</t>
        </is>
      </c>
    </row>
    <row r="15">
      <c r="A15" t="inlineStr">
        <is>
          <t>SKU014</t>
        </is>
      </c>
      <c r="B15" t="inlineStr">
        <is>
          <t>SkinPure Body Lotion</t>
        </is>
      </c>
      <c r="C15" t="inlineStr">
        <is>
          <t>SkinPure</t>
        </is>
      </c>
      <c r="D15" t="inlineStr">
        <is>
          <t>Body Care</t>
        </is>
      </c>
      <c r="E15" t="n">
        <v>799</v>
      </c>
      <c r="F15" t="n">
        <v>4.5</v>
      </c>
      <c r="G15" t="n">
        <v>1672</v>
      </c>
      <c r="H15" t="inlineStr">
        <is>
          <t>In Stock</t>
        </is>
      </c>
      <c r="I15" t="inlineStr">
        <is>
          <t>Live</t>
        </is>
      </c>
      <c r="J15" t="inlineStr">
        <is>
          <t>Complete</t>
        </is>
      </c>
      <c r="K15" t="inlineStr">
        <is>
          <t>Complete</t>
        </is>
      </c>
      <c r="L15" t="inlineStr">
        <is>
          <t>Missing</t>
        </is>
      </c>
      <c r="M15" t="inlineStr">
        <is>
          <t>Complete</t>
        </is>
      </c>
      <c r="N15" t="inlineStr">
        <is>
          <t>Complete</t>
        </is>
      </c>
      <c r="O15" s="2">
        <f>COUNTIF(J15:N15,"Complete")/5</f>
        <v/>
      </c>
      <c r="P15" t="inlineStr">
        <is>
          <t>Content Issue</t>
        </is>
      </c>
      <c r="Q15" t="inlineStr">
        <is>
          <t>Medium</t>
        </is>
      </c>
    </row>
    <row r="16">
      <c r="A16" t="inlineStr">
        <is>
          <t>SKU015</t>
        </is>
      </c>
      <c r="B16" t="inlineStr">
        <is>
          <t>Aurelia Care Sunscreen</t>
        </is>
      </c>
      <c r="C16" t="inlineStr">
        <is>
          <t>Aurelia Care</t>
        </is>
      </c>
      <c r="D16" t="inlineStr">
        <is>
          <t>Skincare</t>
        </is>
      </c>
      <c r="E16" t="n">
        <v>299</v>
      </c>
      <c r="F16" t="n">
        <v>4.2</v>
      </c>
      <c r="G16" t="n">
        <v>1910</v>
      </c>
      <c r="H16" t="inlineStr">
        <is>
          <t>In Stock</t>
        </is>
      </c>
      <c r="I16" t="inlineStr">
        <is>
          <t>Live</t>
        </is>
      </c>
      <c r="J16" t="inlineStr">
        <is>
          <t>Complete</t>
        </is>
      </c>
      <c r="K16" t="inlineStr">
        <is>
          <t>Complete</t>
        </is>
      </c>
      <c r="L16" t="inlineStr">
        <is>
          <t>Complete</t>
        </is>
      </c>
      <c r="M16" t="inlineStr">
        <is>
          <t>Complete</t>
        </is>
      </c>
      <c r="N16" t="inlineStr">
        <is>
          <t>Complete</t>
        </is>
      </c>
      <c r="O16" s="2">
        <f>COUNTIF(J16:N16,"Complete")/5</f>
        <v/>
      </c>
      <c r="P16" t="inlineStr">
        <is>
          <t>No Issue</t>
        </is>
      </c>
      <c r="Q16" t="inlineStr">
        <is>
          <t>Low</t>
        </is>
      </c>
    </row>
    <row r="17">
      <c r="A17" t="inlineStr">
        <is>
          <t>SKU016</t>
        </is>
      </c>
      <c r="B17" t="inlineStr">
        <is>
          <t>SkinPure Face Mask</t>
        </is>
      </c>
      <c r="C17" t="inlineStr">
        <is>
          <t>SkinPure</t>
        </is>
      </c>
      <c r="D17" t="inlineStr">
        <is>
          <t>Skincare</t>
        </is>
      </c>
      <c r="E17" t="n">
        <v>499</v>
      </c>
      <c r="F17" t="n">
        <v>4.3</v>
      </c>
      <c r="G17" t="n">
        <v>1780</v>
      </c>
      <c r="H17" t="inlineStr">
        <is>
          <t>In Stock</t>
        </is>
      </c>
      <c r="I17" t="inlineStr">
        <is>
          <t>Live</t>
        </is>
      </c>
      <c r="J17" t="inlineStr">
        <is>
          <t>Missing</t>
        </is>
      </c>
      <c r="K17" t="inlineStr">
        <is>
          <t>Complete</t>
        </is>
      </c>
      <c r="L17" t="inlineStr">
        <is>
          <t>Complete</t>
        </is>
      </c>
      <c r="M17" t="inlineStr">
        <is>
          <t>Complete</t>
        </is>
      </c>
      <c r="N17" t="inlineStr">
        <is>
          <t>Complete</t>
        </is>
      </c>
      <c r="O17" s="2">
        <f>COUNTIF(J17:N17,"Complete")/5</f>
        <v/>
      </c>
      <c r="P17" t="inlineStr">
        <is>
          <t>Content Issue</t>
        </is>
      </c>
      <c r="Q17" t="inlineStr">
        <is>
          <t>Medium</t>
        </is>
      </c>
    </row>
    <row r="18">
      <c r="A18" t="inlineStr">
        <is>
          <t>SKU017</t>
        </is>
      </c>
      <c r="B18" t="inlineStr">
        <is>
          <t>DermaGlow Sunscreen</t>
        </is>
      </c>
      <c r="C18" t="inlineStr">
        <is>
          <t>DermaGlow</t>
        </is>
      </c>
      <c r="D18" t="inlineStr">
        <is>
          <t>Skincare</t>
        </is>
      </c>
      <c r="E18" t="n">
        <v>999</v>
      </c>
      <c r="F18" t="n">
        <v>3.9</v>
      </c>
      <c r="G18" t="n">
        <v>3494</v>
      </c>
      <c r="H18" t="inlineStr">
        <is>
          <t>Out of Stock</t>
        </is>
      </c>
      <c r="I18" t="inlineStr">
        <is>
          <t>Live</t>
        </is>
      </c>
      <c r="J18" t="inlineStr">
        <is>
          <t>Complete</t>
        </is>
      </c>
      <c r="K18" t="inlineStr">
        <is>
          <t>Complete</t>
        </is>
      </c>
      <c r="L18" t="inlineStr">
        <is>
          <t>Complete</t>
        </is>
      </c>
      <c r="M18" t="inlineStr">
        <is>
          <t>Complete</t>
        </is>
      </c>
      <c r="N18" t="inlineStr">
        <is>
          <t>Complete</t>
        </is>
      </c>
      <c r="O18" s="2">
        <f>COUNTIF(J18:N18,"Complete")/5</f>
        <v/>
      </c>
      <c r="P18" t="inlineStr">
        <is>
          <t>Availability Issue</t>
        </is>
      </c>
      <c r="Q18" t="inlineStr">
        <is>
          <t>High</t>
        </is>
      </c>
    </row>
    <row r="19">
      <c r="A19" t="inlineStr">
        <is>
          <t>SKU018</t>
        </is>
      </c>
      <c r="B19" t="inlineStr">
        <is>
          <t>DermaGlow Conditioner</t>
        </is>
      </c>
      <c r="C19" t="inlineStr">
        <is>
          <t>DermaGlow</t>
        </is>
      </c>
      <c r="D19" t="inlineStr">
        <is>
          <t>Hair Care</t>
        </is>
      </c>
      <c r="E19" t="n">
        <v>449</v>
      </c>
      <c r="F19" t="n">
        <v>3.5</v>
      </c>
      <c r="G19" t="n">
        <v>4418</v>
      </c>
      <c r="H19" t="inlineStr">
        <is>
          <t>In Stock</t>
        </is>
      </c>
      <c r="I19" t="inlineStr">
        <is>
          <t>Live</t>
        </is>
      </c>
      <c r="J19" t="inlineStr">
        <is>
          <t>Complete</t>
        </is>
      </c>
      <c r="K19" t="inlineStr">
        <is>
          <t>Complete</t>
        </is>
      </c>
      <c r="L19" t="inlineStr">
        <is>
          <t>Missing</t>
        </is>
      </c>
      <c r="M19" t="inlineStr">
        <is>
          <t>Complete</t>
        </is>
      </c>
      <c r="N19" t="inlineStr">
        <is>
          <t>Complete</t>
        </is>
      </c>
      <c r="O19" s="2">
        <f>COUNTIF(J19:N19,"Complete")/5</f>
        <v/>
      </c>
      <c r="P19" t="inlineStr">
        <is>
          <t>Content Issue</t>
        </is>
      </c>
      <c r="Q19" t="inlineStr">
        <is>
          <t>Medium</t>
        </is>
      </c>
    </row>
    <row r="20">
      <c r="A20" t="inlineStr">
        <is>
          <t>SKU019</t>
        </is>
      </c>
      <c r="B20" t="inlineStr">
        <is>
          <t>DermaGlow Face Mask</t>
        </is>
      </c>
      <c r="C20" t="inlineStr">
        <is>
          <t>DermaGlow</t>
        </is>
      </c>
      <c r="D20" t="inlineStr">
        <is>
          <t>Skincare</t>
        </is>
      </c>
      <c r="E20" t="n">
        <v>299</v>
      </c>
      <c r="F20" t="n">
        <v>4.3</v>
      </c>
      <c r="G20" t="n">
        <v>4453</v>
      </c>
      <c r="H20" t="inlineStr">
        <is>
          <t>Out of Stock</t>
        </is>
      </c>
      <c r="I20" t="inlineStr">
        <is>
          <t>Inactive</t>
        </is>
      </c>
      <c r="J20" t="inlineStr">
        <is>
          <t>Missing</t>
        </is>
      </c>
      <c r="K20" t="inlineStr">
        <is>
          <t>Complete</t>
        </is>
      </c>
      <c r="L20" t="inlineStr">
        <is>
          <t>Complete</t>
        </is>
      </c>
      <c r="M20" t="inlineStr">
        <is>
          <t>Complete</t>
        </is>
      </c>
      <c r="N20" t="inlineStr">
        <is>
          <t>Complete</t>
        </is>
      </c>
      <c r="O20" s="2">
        <f>COUNTIF(J20:N20,"Complete")/5</f>
        <v/>
      </c>
      <c r="P20" t="inlineStr">
        <is>
          <t>Listing Issue</t>
        </is>
      </c>
      <c r="Q20" t="inlineStr">
        <is>
          <t>High</t>
        </is>
      </c>
    </row>
    <row r="21">
      <c r="A21" t="inlineStr">
        <is>
          <t>SKU020</t>
        </is>
      </c>
      <c r="B21" t="inlineStr">
        <is>
          <t>SkinPure Face Wash</t>
        </is>
      </c>
      <c r="C21" t="inlineStr">
        <is>
          <t>SkinPure</t>
        </is>
      </c>
      <c r="D21" t="inlineStr">
        <is>
          <t>Skincare</t>
        </is>
      </c>
      <c r="E21" t="n">
        <v>599</v>
      </c>
      <c r="F21" t="n">
        <v>3.2</v>
      </c>
      <c r="G21" t="n">
        <v>3223</v>
      </c>
      <c r="H21" t="inlineStr">
        <is>
          <t>In Stock</t>
        </is>
      </c>
      <c r="I21" t="inlineStr">
        <is>
          <t>Live</t>
        </is>
      </c>
      <c r="J21" t="inlineStr">
        <is>
          <t>Complete</t>
        </is>
      </c>
      <c r="K21" t="inlineStr">
        <is>
          <t>Complete</t>
        </is>
      </c>
      <c r="L21" t="inlineStr">
        <is>
          <t>Missing</t>
        </is>
      </c>
      <c r="M21" t="inlineStr">
        <is>
          <t>Missing</t>
        </is>
      </c>
      <c r="N21" t="inlineStr">
        <is>
          <t>Complete</t>
        </is>
      </c>
      <c r="O21" s="2">
        <f>COUNTIF(J21:N21,"Complete")/5</f>
        <v/>
      </c>
      <c r="P21" t="inlineStr">
        <is>
          <t>Content Issue</t>
        </is>
      </c>
      <c r="Q21" t="inlineStr">
        <is>
          <t>Medium</t>
        </is>
      </c>
    </row>
    <row r="22">
      <c r="A22" t="inlineStr">
        <is>
          <t>SKU021</t>
        </is>
      </c>
      <c r="B22" t="inlineStr">
        <is>
          <t>DermaNest Shampoo</t>
        </is>
      </c>
      <c r="C22" t="inlineStr">
        <is>
          <t>DermaNest</t>
        </is>
      </c>
      <c r="D22" t="inlineStr">
        <is>
          <t>Hair Care</t>
        </is>
      </c>
      <c r="E22" t="n">
        <v>399</v>
      </c>
      <c r="F22" t="n">
        <v>3.5</v>
      </c>
      <c r="G22" t="n">
        <v>1808</v>
      </c>
      <c r="H22" t="inlineStr">
        <is>
          <t>In Stock</t>
        </is>
      </c>
      <c r="I22" t="inlineStr">
        <is>
          <t>Suppressed</t>
        </is>
      </c>
      <c r="J22" t="inlineStr">
        <is>
          <t>Complete</t>
        </is>
      </c>
      <c r="K22" t="inlineStr">
        <is>
          <t>Complete</t>
        </is>
      </c>
      <c r="L22" t="inlineStr">
        <is>
          <t>Complete</t>
        </is>
      </c>
      <c r="M22" t="inlineStr">
        <is>
          <t>Complete</t>
        </is>
      </c>
      <c r="N22" t="inlineStr">
        <is>
          <t>Missing</t>
        </is>
      </c>
      <c r="O22" s="2">
        <f>COUNTIF(J22:N22,"Complete")/5</f>
        <v/>
      </c>
      <c r="P22" t="inlineStr">
        <is>
          <t>Listing Issue</t>
        </is>
      </c>
      <c r="Q22" t="inlineStr">
        <is>
          <t>High</t>
        </is>
      </c>
    </row>
    <row r="23">
      <c r="A23" t="inlineStr">
        <is>
          <t>SKU022</t>
        </is>
      </c>
      <c r="B23" t="inlineStr">
        <is>
          <t>DermaGlow Vitamin C Serum</t>
        </is>
      </c>
      <c r="C23" t="inlineStr">
        <is>
          <t>DermaGlow</t>
        </is>
      </c>
      <c r="D23" t="inlineStr">
        <is>
          <t>Skincare</t>
        </is>
      </c>
      <c r="E23" t="n">
        <v>799</v>
      </c>
      <c r="F23" t="n">
        <v>3.3</v>
      </c>
      <c r="G23" t="n">
        <v>1547</v>
      </c>
      <c r="H23" t="inlineStr">
        <is>
          <t>In Stock</t>
        </is>
      </c>
      <c r="I23" t="inlineStr">
        <is>
          <t>Live</t>
        </is>
      </c>
      <c r="J23" t="inlineStr">
        <is>
          <t>Complete</t>
        </is>
      </c>
      <c r="K23" t="inlineStr">
        <is>
          <t>Complete</t>
        </is>
      </c>
      <c r="L23" t="inlineStr">
        <is>
          <t>Missing</t>
        </is>
      </c>
      <c r="M23" t="inlineStr">
        <is>
          <t>Complete</t>
        </is>
      </c>
      <c r="N23" t="inlineStr">
        <is>
          <t>Complete</t>
        </is>
      </c>
      <c r="O23" s="2">
        <f>COUNTIF(J23:N23,"Complete")/5</f>
        <v/>
      </c>
      <c r="P23" t="inlineStr">
        <is>
          <t>Content Issue</t>
        </is>
      </c>
      <c r="Q23" t="inlineStr">
        <is>
          <t>Medium</t>
        </is>
      </c>
    </row>
    <row r="24">
      <c r="A24" t="inlineStr">
        <is>
          <t>SKU023</t>
        </is>
      </c>
      <c r="B24" t="inlineStr">
        <is>
          <t>GlowLab Face Wash</t>
        </is>
      </c>
      <c r="C24" t="inlineStr">
        <is>
          <t>GlowLab</t>
        </is>
      </c>
      <c r="D24" t="inlineStr">
        <is>
          <t>Skincare</t>
        </is>
      </c>
      <c r="E24" t="n">
        <v>349</v>
      </c>
      <c r="F24" t="n">
        <v>3.9</v>
      </c>
      <c r="G24" t="n">
        <v>4655</v>
      </c>
      <c r="H24" t="inlineStr">
        <is>
          <t>Out of Stock</t>
        </is>
      </c>
      <c r="I24" t="inlineStr">
        <is>
          <t>Live</t>
        </is>
      </c>
      <c r="J24" t="inlineStr">
        <is>
          <t>Complete</t>
        </is>
      </c>
      <c r="K24" t="inlineStr">
        <is>
          <t>Complete</t>
        </is>
      </c>
      <c r="L24" t="inlineStr">
        <is>
          <t>Complete</t>
        </is>
      </c>
      <c r="M24" t="inlineStr">
        <is>
          <t>Complete</t>
        </is>
      </c>
      <c r="N24" t="inlineStr">
        <is>
          <t>Complete</t>
        </is>
      </c>
      <c r="O24" s="2">
        <f>COUNTIF(J24:N24,"Complete")/5</f>
        <v/>
      </c>
      <c r="P24" t="inlineStr">
        <is>
          <t>Availability Issue</t>
        </is>
      </c>
      <c r="Q24" t="inlineStr">
        <is>
          <t>High</t>
        </is>
      </c>
    </row>
    <row r="25">
      <c r="A25" t="inlineStr">
        <is>
          <t>SKU024</t>
        </is>
      </c>
      <c r="B25" t="inlineStr">
        <is>
          <t>DermaNest Niacinamide Serum</t>
        </is>
      </c>
      <c r="C25" t="inlineStr">
        <is>
          <t>DermaNest</t>
        </is>
      </c>
      <c r="D25" t="inlineStr">
        <is>
          <t>Skincare</t>
        </is>
      </c>
      <c r="E25" t="n">
        <v>549</v>
      </c>
      <c r="F25" t="n">
        <v>4.8</v>
      </c>
      <c r="G25" t="n">
        <v>619</v>
      </c>
      <c r="H25" t="inlineStr">
        <is>
          <t>In Stock</t>
        </is>
      </c>
      <c r="I25" t="inlineStr">
        <is>
          <t>Live</t>
        </is>
      </c>
      <c r="J25" t="inlineStr">
        <is>
          <t>Complete</t>
        </is>
      </c>
      <c r="K25" t="inlineStr">
        <is>
          <t>Complete</t>
        </is>
      </c>
      <c r="L25" t="inlineStr">
        <is>
          <t>Complete</t>
        </is>
      </c>
      <c r="M25" t="inlineStr">
        <is>
          <t>Complete</t>
        </is>
      </c>
      <c r="N25" t="inlineStr">
        <is>
          <t>Complete</t>
        </is>
      </c>
      <c r="O25" s="2">
        <f>COUNTIF(J25:N25,"Complete")/5</f>
        <v/>
      </c>
      <c r="P25" t="inlineStr">
        <is>
          <t>No Issue</t>
        </is>
      </c>
      <c r="Q25" t="inlineStr">
        <is>
          <t>Low</t>
        </is>
      </c>
    </row>
    <row r="26">
      <c r="A26" t="inlineStr">
        <is>
          <t>SKU025</t>
        </is>
      </c>
      <c r="B26" t="inlineStr">
        <is>
          <t>DermaGlow Cleanser</t>
        </is>
      </c>
      <c r="C26" t="inlineStr">
        <is>
          <t>DermaGlow</t>
        </is>
      </c>
      <c r="D26" t="inlineStr">
        <is>
          <t>Skincare</t>
        </is>
      </c>
      <c r="E26" t="n">
        <v>449</v>
      </c>
      <c r="F26" t="n">
        <v>3.8</v>
      </c>
      <c r="G26" t="n">
        <v>1317</v>
      </c>
      <c r="H26" t="inlineStr">
        <is>
          <t>In Stock</t>
        </is>
      </c>
      <c r="I26" t="inlineStr">
        <is>
          <t>Live</t>
        </is>
      </c>
      <c r="J26" t="inlineStr">
        <is>
          <t>Complete</t>
        </is>
      </c>
      <c r="K26" t="inlineStr">
        <is>
          <t>Missing</t>
        </is>
      </c>
      <c r="L26" t="inlineStr">
        <is>
          <t>Complete</t>
        </is>
      </c>
      <c r="M26" t="inlineStr">
        <is>
          <t>Complete</t>
        </is>
      </c>
      <c r="N26" t="inlineStr">
        <is>
          <t>Complete</t>
        </is>
      </c>
      <c r="O26" s="2">
        <f>COUNTIF(J26:N26,"Complete")/5</f>
        <v/>
      </c>
      <c r="P26" t="inlineStr">
        <is>
          <t>Content Issue</t>
        </is>
      </c>
      <c r="Q26" t="inlineStr">
        <is>
          <t>Medium</t>
        </is>
      </c>
    </row>
    <row r="27">
      <c r="A27" t="inlineStr">
        <is>
          <t>SKU026</t>
        </is>
      </c>
      <c r="B27" t="inlineStr">
        <is>
          <t>Aurelia Care Face Mask</t>
        </is>
      </c>
      <c r="C27" t="inlineStr">
        <is>
          <t>Aurelia Care</t>
        </is>
      </c>
      <c r="D27" t="inlineStr">
        <is>
          <t>Skincare</t>
        </is>
      </c>
      <c r="E27" t="n">
        <v>999</v>
      </c>
      <c r="F27" t="n">
        <v>3.4</v>
      </c>
      <c r="G27" t="n">
        <v>1125</v>
      </c>
      <c r="H27" t="inlineStr">
        <is>
          <t>Out of Stock</t>
        </is>
      </c>
      <c r="I27" t="inlineStr">
        <is>
          <t>Live</t>
        </is>
      </c>
      <c r="J27" t="inlineStr">
        <is>
          <t>Complete</t>
        </is>
      </c>
      <c r="K27" t="inlineStr">
        <is>
          <t>Complete</t>
        </is>
      </c>
      <c r="L27" t="inlineStr">
        <is>
          <t>Complete</t>
        </is>
      </c>
      <c r="M27" t="inlineStr">
        <is>
          <t>Complete</t>
        </is>
      </c>
      <c r="N27" t="inlineStr">
        <is>
          <t>Complete</t>
        </is>
      </c>
      <c r="O27" s="2">
        <f>COUNTIF(J27:N27,"Complete")/5</f>
        <v/>
      </c>
      <c r="P27" t="inlineStr">
        <is>
          <t>Availability Issue</t>
        </is>
      </c>
      <c r="Q27" t="inlineStr">
        <is>
          <t>High</t>
        </is>
      </c>
    </row>
    <row r="28">
      <c r="A28" t="inlineStr">
        <is>
          <t>SKU027</t>
        </is>
      </c>
      <c r="B28" t="inlineStr">
        <is>
          <t>Aurelia Care Hair Serum</t>
        </is>
      </c>
      <c r="C28" t="inlineStr">
        <is>
          <t>Aurelia Care</t>
        </is>
      </c>
      <c r="D28" t="inlineStr">
        <is>
          <t>Hair Care</t>
        </is>
      </c>
      <c r="E28" t="n">
        <v>799</v>
      </c>
      <c r="F28" t="n">
        <v>4</v>
      </c>
      <c r="G28" t="n">
        <v>441</v>
      </c>
      <c r="H28" t="inlineStr">
        <is>
          <t>In Stock</t>
        </is>
      </c>
      <c r="I28" t="inlineStr">
        <is>
          <t>Live</t>
        </is>
      </c>
      <c r="J28" t="inlineStr">
        <is>
          <t>Complete</t>
        </is>
      </c>
      <c r="K28" t="inlineStr">
        <is>
          <t>Complete</t>
        </is>
      </c>
      <c r="L28" t="inlineStr">
        <is>
          <t>Complete</t>
        </is>
      </c>
      <c r="M28" t="inlineStr">
        <is>
          <t>Complete</t>
        </is>
      </c>
      <c r="N28" t="inlineStr">
        <is>
          <t>Complete</t>
        </is>
      </c>
      <c r="O28" s="2">
        <f>COUNTIF(J28:N28,"Complete")/5</f>
        <v/>
      </c>
      <c r="P28" t="inlineStr">
        <is>
          <t>No Issue</t>
        </is>
      </c>
      <c r="Q28" t="inlineStr">
        <is>
          <t>Low</t>
        </is>
      </c>
    </row>
    <row r="29">
      <c r="A29" t="inlineStr">
        <is>
          <t>SKU028</t>
        </is>
      </c>
      <c r="B29" t="inlineStr">
        <is>
          <t>DermaNest Shampoo</t>
        </is>
      </c>
      <c r="C29" t="inlineStr">
        <is>
          <t>DermaNest</t>
        </is>
      </c>
      <c r="D29" t="inlineStr">
        <is>
          <t>Hair Care</t>
        </is>
      </c>
      <c r="E29" t="n">
        <v>799</v>
      </c>
      <c r="F29" t="n">
        <v>4.4</v>
      </c>
      <c r="G29" t="n">
        <v>4619</v>
      </c>
      <c r="H29" t="inlineStr">
        <is>
          <t>In Stock</t>
        </is>
      </c>
      <c r="I29" t="inlineStr">
        <is>
          <t>Live</t>
        </is>
      </c>
      <c r="J29" t="inlineStr">
        <is>
          <t>Missing</t>
        </is>
      </c>
      <c r="K29" t="inlineStr">
        <is>
          <t>Missing</t>
        </is>
      </c>
      <c r="L29" t="inlineStr">
        <is>
          <t>Complete</t>
        </is>
      </c>
      <c r="M29" t="inlineStr">
        <is>
          <t>Complete</t>
        </is>
      </c>
      <c r="N29" t="inlineStr">
        <is>
          <t>Complete</t>
        </is>
      </c>
      <c r="O29" s="2">
        <f>COUNTIF(J29:N29,"Complete")/5</f>
        <v/>
      </c>
      <c r="P29" t="inlineStr">
        <is>
          <t>Content Issue</t>
        </is>
      </c>
      <c r="Q29" t="inlineStr">
        <is>
          <t>Medium</t>
        </is>
      </c>
    </row>
    <row r="30">
      <c r="A30" t="inlineStr">
        <is>
          <t>SKU029</t>
        </is>
      </c>
      <c r="B30" t="inlineStr">
        <is>
          <t>DermaNest Vitamin C Serum</t>
        </is>
      </c>
      <c r="C30" t="inlineStr">
        <is>
          <t>DermaNest</t>
        </is>
      </c>
      <c r="D30" t="inlineStr">
        <is>
          <t>Skincare</t>
        </is>
      </c>
      <c r="E30" t="n">
        <v>399</v>
      </c>
      <c r="F30" t="n">
        <v>3.3</v>
      </c>
      <c r="G30" t="n">
        <v>3012</v>
      </c>
      <c r="H30" t="inlineStr">
        <is>
          <t>In Stock</t>
        </is>
      </c>
      <c r="I30" t="inlineStr">
        <is>
          <t>Inactive</t>
        </is>
      </c>
      <c r="J30" t="inlineStr">
        <is>
          <t>Complete</t>
        </is>
      </c>
      <c r="K30" t="inlineStr">
        <is>
          <t>Missing</t>
        </is>
      </c>
      <c r="L30" t="inlineStr">
        <is>
          <t>Complete</t>
        </is>
      </c>
      <c r="M30" t="inlineStr">
        <is>
          <t>Complete</t>
        </is>
      </c>
      <c r="N30" t="inlineStr">
        <is>
          <t>Complete</t>
        </is>
      </c>
      <c r="O30" s="2">
        <f>COUNTIF(J30:N30,"Complete")/5</f>
        <v/>
      </c>
      <c r="P30" t="inlineStr">
        <is>
          <t>Listing Issue</t>
        </is>
      </c>
      <c r="Q30" t="inlineStr">
        <is>
          <t>Medium</t>
        </is>
      </c>
    </row>
    <row r="31">
      <c r="A31" t="inlineStr">
        <is>
          <t>SKU030</t>
        </is>
      </c>
      <c r="B31" t="inlineStr">
        <is>
          <t>DermaNest Hand Cream</t>
        </is>
      </c>
      <c r="C31" t="inlineStr">
        <is>
          <t>DermaNest</t>
        </is>
      </c>
      <c r="D31" t="inlineStr">
        <is>
          <t>Body Care</t>
        </is>
      </c>
      <c r="E31" t="n">
        <v>899</v>
      </c>
      <c r="F31" t="n">
        <v>4.5</v>
      </c>
      <c r="G31" t="n">
        <v>1964</v>
      </c>
      <c r="H31" t="inlineStr">
        <is>
          <t>Out of Stock</t>
        </is>
      </c>
      <c r="I31" t="inlineStr">
        <is>
          <t>Inactive</t>
        </is>
      </c>
      <c r="J31" t="inlineStr">
        <is>
          <t>Complete</t>
        </is>
      </c>
      <c r="K31" t="inlineStr">
        <is>
          <t>Missing</t>
        </is>
      </c>
      <c r="L31" t="inlineStr">
        <is>
          <t>Complete</t>
        </is>
      </c>
      <c r="M31" t="inlineStr">
        <is>
          <t>Complete</t>
        </is>
      </c>
      <c r="N31" t="inlineStr">
        <is>
          <t>Complete</t>
        </is>
      </c>
      <c r="O31" s="2">
        <f>COUNTIF(J31:N31,"Complete")/5</f>
        <v/>
      </c>
      <c r="P31" t="inlineStr">
        <is>
          <t>Listing Issue</t>
        </is>
      </c>
      <c r="Q31" t="inlineStr">
        <is>
          <t>High</t>
        </is>
      </c>
    </row>
    <row r="32">
      <c r="A32" t="inlineStr">
        <is>
          <t>SKU031</t>
        </is>
      </c>
      <c r="B32" t="inlineStr">
        <is>
          <t>SkinPure Conditioner</t>
        </is>
      </c>
      <c r="C32" t="inlineStr">
        <is>
          <t>SkinPure</t>
        </is>
      </c>
      <c r="D32" t="inlineStr">
        <is>
          <t>Hair Care</t>
        </is>
      </c>
      <c r="E32" t="n">
        <v>499</v>
      </c>
      <c r="F32" t="n">
        <v>3.5</v>
      </c>
      <c r="G32" t="n">
        <v>910</v>
      </c>
      <c r="H32" t="inlineStr">
        <is>
          <t>In Stock</t>
        </is>
      </c>
      <c r="I32" t="inlineStr">
        <is>
          <t>Live</t>
        </is>
      </c>
      <c r="J32" t="inlineStr">
        <is>
          <t>Complete</t>
        </is>
      </c>
      <c r="K32" t="inlineStr">
        <is>
          <t>Complete</t>
        </is>
      </c>
      <c r="L32" t="inlineStr">
        <is>
          <t>Missing</t>
        </is>
      </c>
      <c r="M32" t="inlineStr">
        <is>
          <t>Complete</t>
        </is>
      </c>
      <c r="N32" t="inlineStr">
        <is>
          <t>Complete</t>
        </is>
      </c>
      <c r="O32" s="2">
        <f>COUNTIF(J32:N32,"Complete")/5</f>
        <v/>
      </c>
      <c r="P32" t="inlineStr">
        <is>
          <t>Content Issue</t>
        </is>
      </c>
      <c r="Q32" t="inlineStr">
        <is>
          <t>Medium</t>
        </is>
      </c>
    </row>
    <row r="33">
      <c r="A33" t="inlineStr">
        <is>
          <t>SKU032</t>
        </is>
      </c>
      <c r="B33" t="inlineStr">
        <is>
          <t>SkinPure Body Wash</t>
        </is>
      </c>
      <c r="C33" t="inlineStr">
        <is>
          <t>SkinPure</t>
        </is>
      </c>
      <c r="D33" t="inlineStr">
        <is>
          <t>Body Care</t>
        </is>
      </c>
      <c r="E33" t="n">
        <v>449</v>
      </c>
      <c r="F33" t="n">
        <v>3.2</v>
      </c>
      <c r="G33" t="n">
        <v>1607</v>
      </c>
      <c r="H33" t="inlineStr">
        <is>
          <t>In Stock</t>
        </is>
      </c>
      <c r="I33" t="inlineStr">
        <is>
          <t>Live</t>
        </is>
      </c>
      <c r="J33" t="inlineStr">
        <is>
          <t>Complete</t>
        </is>
      </c>
      <c r="K33" t="inlineStr">
        <is>
          <t>Complete</t>
        </is>
      </c>
      <c r="L33" t="inlineStr">
        <is>
          <t>Complete</t>
        </is>
      </c>
      <c r="M33" t="inlineStr">
        <is>
          <t>Complete</t>
        </is>
      </c>
      <c r="N33" t="inlineStr">
        <is>
          <t>Complete</t>
        </is>
      </c>
      <c r="O33" s="2">
        <f>COUNTIF(J33:N33,"Complete")/5</f>
        <v/>
      </c>
      <c r="P33" t="inlineStr">
        <is>
          <t>Rating Issue</t>
        </is>
      </c>
      <c r="Q33" t="inlineStr">
        <is>
          <t>Medium</t>
        </is>
      </c>
    </row>
    <row r="34">
      <c r="A34" t="inlineStr">
        <is>
          <t>SKU033</t>
        </is>
      </c>
      <c r="B34" t="inlineStr">
        <is>
          <t>GlowLab Body Wash</t>
        </is>
      </c>
      <c r="C34" t="inlineStr">
        <is>
          <t>GlowLab</t>
        </is>
      </c>
      <c r="D34" t="inlineStr">
        <is>
          <t>Body Care</t>
        </is>
      </c>
      <c r="E34" t="n">
        <v>549</v>
      </c>
      <c r="F34" t="n">
        <v>4.8</v>
      </c>
      <c r="G34" t="n">
        <v>969</v>
      </c>
      <c r="H34" t="inlineStr">
        <is>
          <t>In Stock</t>
        </is>
      </c>
      <c r="I34" t="inlineStr">
        <is>
          <t>Inactive</t>
        </is>
      </c>
      <c r="J34" t="inlineStr">
        <is>
          <t>Complete</t>
        </is>
      </c>
      <c r="K34" t="inlineStr">
        <is>
          <t>Missing</t>
        </is>
      </c>
      <c r="L34" t="inlineStr">
        <is>
          <t>Complete</t>
        </is>
      </c>
      <c r="M34" t="inlineStr">
        <is>
          <t>Complete</t>
        </is>
      </c>
      <c r="N34" t="inlineStr">
        <is>
          <t>Complete</t>
        </is>
      </c>
      <c r="O34" s="2">
        <f>COUNTIF(J34:N34,"Complete")/5</f>
        <v/>
      </c>
      <c r="P34" t="inlineStr">
        <is>
          <t>Listing Issue</t>
        </is>
      </c>
      <c r="Q34" t="inlineStr">
        <is>
          <t>Medium</t>
        </is>
      </c>
    </row>
    <row r="35">
      <c r="A35" t="inlineStr">
        <is>
          <t>SKU034</t>
        </is>
      </c>
      <c r="B35" t="inlineStr">
        <is>
          <t>GlowLab Body Lotion</t>
        </is>
      </c>
      <c r="C35" t="inlineStr">
        <is>
          <t>GlowLab</t>
        </is>
      </c>
      <c r="D35" t="inlineStr">
        <is>
          <t>Body Care</t>
        </is>
      </c>
      <c r="E35" t="n">
        <v>799</v>
      </c>
      <c r="F35" t="n">
        <v>3.4</v>
      </c>
      <c r="G35" t="n">
        <v>4748</v>
      </c>
      <c r="H35" t="inlineStr">
        <is>
          <t>In Stock</t>
        </is>
      </c>
      <c r="I35" t="inlineStr">
        <is>
          <t>Live</t>
        </is>
      </c>
      <c r="J35" t="inlineStr">
        <is>
          <t>Complete</t>
        </is>
      </c>
      <c r="K35" t="inlineStr">
        <is>
          <t>Complete</t>
        </is>
      </c>
      <c r="L35" t="inlineStr">
        <is>
          <t>Complete</t>
        </is>
      </c>
      <c r="M35" t="inlineStr">
        <is>
          <t>Complete</t>
        </is>
      </c>
      <c r="N35" t="inlineStr">
        <is>
          <t>Missing</t>
        </is>
      </c>
      <c r="O35" s="2">
        <f>COUNTIF(J35:N35,"Complete")/5</f>
        <v/>
      </c>
      <c r="P35" t="inlineStr">
        <is>
          <t>Content Issue</t>
        </is>
      </c>
      <c r="Q35" t="inlineStr">
        <is>
          <t>Medium</t>
        </is>
      </c>
    </row>
    <row r="36">
      <c r="A36" t="inlineStr">
        <is>
          <t>SKU035</t>
        </is>
      </c>
      <c r="B36" t="inlineStr">
        <is>
          <t>SkinPure Shampoo</t>
        </is>
      </c>
      <c r="C36" t="inlineStr">
        <is>
          <t>SkinPure</t>
        </is>
      </c>
      <c r="D36" t="inlineStr">
        <is>
          <t>Hair Care</t>
        </is>
      </c>
      <c r="E36" t="n">
        <v>549</v>
      </c>
      <c r="F36" t="n">
        <v>3.9</v>
      </c>
      <c r="G36" t="n">
        <v>2729</v>
      </c>
      <c r="H36" t="inlineStr">
        <is>
          <t>In Stock</t>
        </is>
      </c>
      <c r="I36" t="inlineStr">
        <is>
          <t>Live</t>
        </is>
      </c>
      <c r="J36" t="inlineStr">
        <is>
          <t>Complete</t>
        </is>
      </c>
      <c r="K36" t="inlineStr">
        <is>
          <t>Missing</t>
        </is>
      </c>
      <c r="L36" t="inlineStr">
        <is>
          <t>Complete</t>
        </is>
      </c>
      <c r="M36" t="inlineStr">
        <is>
          <t>Complete</t>
        </is>
      </c>
      <c r="N36" t="inlineStr">
        <is>
          <t>Complete</t>
        </is>
      </c>
      <c r="O36" s="2">
        <f>COUNTIF(J36:N36,"Complete")/5</f>
        <v/>
      </c>
      <c r="P36" t="inlineStr">
        <is>
          <t>Content Issue</t>
        </is>
      </c>
      <c r="Q36" t="inlineStr">
        <is>
          <t>Medium</t>
        </is>
      </c>
    </row>
    <row r="37">
      <c r="A37" t="inlineStr">
        <is>
          <t>SKU036</t>
        </is>
      </c>
      <c r="B37" t="inlineStr">
        <is>
          <t>Aurelia Care Shampoo</t>
        </is>
      </c>
      <c r="C37" t="inlineStr">
        <is>
          <t>Aurelia Care</t>
        </is>
      </c>
      <c r="D37" t="inlineStr">
        <is>
          <t>Hair Care</t>
        </is>
      </c>
      <c r="E37" t="n">
        <v>799</v>
      </c>
      <c r="F37" t="n">
        <v>3.4</v>
      </c>
      <c r="G37" t="n">
        <v>3469</v>
      </c>
      <c r="H37" t="inlineStr">
        <is>
          <t>In Stock</t>
        </is>
      </c>
      <c r="I37" t="inlineStr">
        <is>
          <t>Live</t>
        </is>
      </c>
      <c r="J37" t="inlineStr">
        <is>
          <t>Complete</t>
        </is>
      </c>
      <c r="K37" t="inlineStr">
        <is>
          <t>Complete</t>
        </is>
      </c>
      <c r="L37" t="inlineStr">
        <is>
          <t>Complete</t>
        </is>
      </c>
      <c r="M37" t="inlineStr">
        <is>
          <t>Complete</t>
        </is>
      </c>
      <c r="N37" t="inlineStr">
        <is>
          <t>Complete</t>
        </is>
      </c>
      <c r="O37" s="2">
        <f>COUNTIF(J37:N37,"Complete")/5</f>
        <v/>
      </c>
      <c r="P37" t="inlineStr">
        <is>
          <t>Rating Issue</t>
        </is>
      </c>
      <c r="Q37" t="inlineStr">
        <is>
          <t>Medium</t>
        </is>
      </c>
    </row>
    <row r="38">
      <c r="A38" t="inlineStr">
        <is>
          <t>SKU037</t>
        </is>
      </c>
      <c r="B38" t="inlineStr">
        <is>
          <t>Aurelia Care Niacinamide Serum</t>
        </is>
      </c>
      <c r="C38" t="inlineStr">
        <is>
          <t>Aurelia Care</t>
        </is>
      </c>
      <c r="D38" t="inlineStr">
        <is>
          <t>Skincare</t>
        </is>
      </c>
      <c r="E38" t="n">
        <v>449</v>
      </c>
      <c r="F38" t="n">
        <v>3.9</v>
      </c>
      <c r="G38" t="n">
        <v>4776</v>
      </c>
      <c r="H38" t="inlineStr">
        <is>
          <t>In Stock</t>
        </is>
      </c>
      <c r="I38" t="inlineStr">
        <is>
          <t>Live</t>
        </is>
      </c>
      <c r="J38" t="inlineStr">
        <is>
          <t>Complete</t>
        </is>
      </c>
      <c r="K38" t="inlineStr">
        <is>
          <t>Complete</t>
        </is>
      </c>
      <c r="L38" t="inlineStr">
        <is>
          <t>Complete</t>
        </is>
      </c>
      <c r="M38" t="inlineStr">
        <is>
          <t>Complete</t>
        </is>
      </c>
      <c r="N38" t="inlineStr">
        <is>
          <t>Missing</t>
        </is>
      </c>
      <c r="O38" s="2">
        <f>COUNTIF(J38:N38,"Complete")/5</f>
        <v/>
      </c>
      <c r="P38" t="inlineStr">
        <is>
          <t>Content Issue</t>
        </is>
      </c>
      <c r="Q38" t="inlineStr">
        <is>
          <t>Medium</t>
        </is>
      </c>
    </row>
    <row r="39">
      <c r="A39" t="inlineStr">
        <is>
          <t>SKU038</t>
        </is>
      </c>
      <c r="B39" t="inlineStr">
        <is>
          <t>SkinPure Shampoo</t>
        </is>
      </c>
      <c r="C39" t="inlineStr">
        <is>
          <t>SkinPure</t>
        </is>
      </c>
      <c r="D39" t="inlineStr">
        <is>
          <t>Hair Care</t>
        </is>
      </c>
      <c r="E39" t="n">
        <v>999</v>
      </c>
      <c r="F39" t="n">
        <v>3.3</v>
      </c>
      <c r="G39" t="n">
        <v>4247</v>
      </c>
      <c r="H39" t="inlineStr">
        <is>
          <t>In Stock</t>
        </is>
      </c>
      <c r="I39" t="inlineStr">
        <is>
          <t>Live</t>
        </is>
      </c>
      <c r="J39" t="inlineStr">
        <is>
          <t>Complete</t>
        </is>
      </c>
      <c r="K39" t="inlineStr">
        <is>
          <t>Missing</t>
        </is>
      </c>
      <c r="L39" t="inlineStr">
        <is>
          <t>Complete</t>
        </is>
      </c>
      <c r="M39" t="inlineStr">
        <is>
          <t>Complete</t>
        </is>
      </c>
      <c r="N39" t="inlineStr">
        <is>
          <t>Complete</t>
        </is>
      </c>
      <c r="O39" s="2">
        <f>COUNTIF(J39:N39,"Complete")/5</f>
        <v/>
      </c>
      <c r="P39" t="inlineStr">
        <is>
          <t>Content Issue</t>
        </is>
      </c>
      <c r="Q39" t="inlineStr">
        <is>
          <t>Medium</t>
        </is>
      </c>
    </row>
    <row r="40">
      <c r="A40" t="inlineStr">
        <is>
          <t>SKU039</t>
        </is>
      </c>
      <c r="B40" t="inlineStr">
        <is>
          <t>DermaGlow Vitamin C Serum</t>
        </is>
      </c>
      <c r="C40" t="inlineStr">
        <is>
          <t>DermaGlow</t>
        </is>
      </c>
      <c r="D40" t="inlineStr">
        <is>
          <t>Skincare</t>
        </is>
      </c>
      <c r="E40" t="n">
        <v>299</v>
      </c>
      <c r="F40" t="n">
        <v>3.6</v>
      </c>
      <c r="G40" t="n">
        <v>3917</v>
      </c>
      <c r="H40" t="inlineStr">
        <is>
          <t>In Stock</t>
        </is>
      </c>
      <c r="I40" t="inlineStr">
        <is>
          <t>Live</t>
        </is>
      </c>
      <c r="J40" t="inlineStr">
        <is>
          <t>Complete</t>
        </is>
      </c>
      <c r="K40" t="inlineStr">
        <is>
          <t>Missing</t>
        </is>
      </c>
      <c r="L40" t="inlineStr">
        <is>
          <t>Complete</t>
        </is>
      </c>
      <c r="M40" t="inlineStr">
        <is>
          <t>Complete</t>
        </is>
      </c>
      <c r="N40" t="inlineStr">
        <is>
          <t>Complete</t>
        </is>
      </c>
      <c r="O40" s="2">
        <f>COUNTIF(J40:N40,"Complete")/5</f>
        <v/>
      </c>
      <c r="P40" t="inlineStr">
        <is>
          <t>Content Issue</t>
        </is>
      </c>
      <c r="Q40" t="inlineStr">
        <is>
          <t>Medium</t>
        </is>
      </c>
    </row>
    <row r="41">
      <c r="A41" t="inlineStr">
        <is>
          <t>SKU040</t>
        </is>
      </c>
      <c r="B41" t="inlineStr">
        <is>
          <t>SkinPure Body Lotion</t>
        </is>
      </c>
      <c r="C41" t="inlineStr">
        <is>
          <t>SkinPure</t>
        </is>
      </c>
      <c r="D41" t="inlineStr">
        <is>
          <t>Body Care</t>
        </is>
      </c>
      <c r="E41" t="n">
        <v>399</v>
      </c>
      <c r="F41" t="n">
        <v>4.3</v>
      </c>
      <c r="G41" t="n">
        <v>70</v>
      </c>
      <c r="H41" t="inlineStr">
        <is>
          <t>Out of Stock</t>
        </is>
      </c>
      <c r="I41" t="inlineStr">
        <is>
          <t>Inactive</t>
        </is>
      </c>
      <c r="J41" t="inlineStr">
        <is>
          <t>Missing</t>
        </is>
      </c>
      <c r="K41" t="inlineStr">
        <is>
          <t>Complete</t>
        </is>
      </c>
      <c r="L41" t="inlineStr">
        <is>
          <t>Complete</t>
        </is>
      </c>
      <c r="M41" t="inlineStr">
        <is>
          <t>Complete</t>
        </is>
      </c>
      <c r="N41" t="inlineStr">
        <is>
          <t>Complete</t>
        </is>
      </c>
      <c r="O41" s="2">
        <f>COUNTIF(J41:N41,"Complete")/5</f>
        <v/>
      </c>
      <c r="P41" t="inlineStr">
        <is>
          <t>Listing Issue</t>
        </is>
      </c>
      <c r="Q41" t="inlineStr">
        <is>
          <t>High</t>
        </is>
      </c>
    </row>
    <row r="42">
      <c r="A42" t="inlineStr">
        <is>
          <t>SKU041</t>
        </is>
      </c>
      <c r="B42" t="inlineStr">
        <is>
          <t>SkinPure Face Mask</t>
        </is>
      </c>
      <c r="C42" t="inlineStr">
        <is>
          <t>SkinPure</t>
        </is>
      </c>
      <c r="D42" t="inlineStr">
        <is>
          <t>Skincare</t>
        </is>
      </c>
      <c r="E42" t="n">
        <v>349</v>
      </c>
      <c r="F42" t="n">
        <v>4</v>
      </c>
      <c r="G42" t="n">
        <v>3831</v>
      </c>
      <c r="H42" t="inlineStr">
        <is>
          <t>Out of Stock</t>
        </is>
      </c>
      <c r="I42" t="inlineStr">
        <is>
          <t>Live</t>
        </is>
      </c>
      <c r="J42" t="inlineStr">
        <is>
          <t>Complete</t>
        </is>
      </c>
      <c r="K42" t="inlineStr">
        <is>
          <t>Missing</t>
        </is>
      </c>
      <c r="L42" t="inlineStr">
        <is>
          <t>Missing</t>
        </is>
      </c>
      <c r="M42" t="inlineStr">
        <is>
          <t>Complete</t>
        </is>
      </c>
      <c r="N42" t="inlineStr">
        <is>
          <t>Complete</t>
        </is>
      </c>
      <c r="O42" s="2">
        <f>COUNTIF(J42:N42,"Complete")/5</f>
        <v/>
      </c>
      <c r="P42" t="inlineStr">
        <is>
          <t>Availability Issue</t>
        </is>
      </c>
      <c r="Q42" t="inlineStr">
        <is>
          <t>High</t>
        </is>
      </c>
    </row>
    <row r="43">
      <c r="A43" t="inlineStr">
        <is>
          <t>SKU042</t>
        </is>
      </c>
      <c r="B43" t="inlineStr">
        <is>
          <t>DermaNest Face Mask</t>
        </is>
      </c>
      <c r="C43" t="inlineStr">
        <is>
          <t>DermaNest</t>
        </is>
      </c>
      <c r="D43" t="inlineStr">
        <is>
          <t>Skincare</t>
        </is>
      </c>
      <c r="E43" t="n">
        <v>799</v>
      </c>
      <c r="F43" t="n">
        <v>4</v>
      </c>
      <c r="G43" t="n">
        <v>1328</v>
      </c>
      <c r="H43" t="inlineStr">
        <is>
          <t>In Stock</t>
        </is>
      </c>
      <c r="I43" t="inlineStr">
        <is>
          <t>Live</t>
        </is>
      </c>
      <c r="J43" t="inlineStr">
        <is>
          <t>Complete</t>
        </is>
      </c>
      <c r="K43" t="inlineStr">
        <is>
          <t>Complete</t>
        </is>
      </c>
      <c r="L43" t="inlineStr">
        <is>
          <t>Complete</t>
        </is>
      </c>
      <c r="M43" t="inlineStr">
        <is>
          <t>Complete</t>
        </is>
      </c>
      <c r="N43" t="inlineStr">
        <is>
          <t>Complete</t>
        </is>
      </c>
      <c r="O43" s="2">
        <f>COUNTIF(J43:N43,"Complete")/5</f>
        <v/>
      </c>
      <c r="P43" t="inlineStr">
        <is>
          <t>No Issue</t>
        </is>
      </c>
      <c r="Q43" t="inlineStr">
        <is>
          <t>Low</t>
        </is>
      </c>
    </row>
    <row r="44">
      <c r="A44" t="inlineStr">
        <is>
          <t>SKU043</t>
        </is>
      </c>
      <c r="B44" t="inlineStr">
        <is>
          <t>SkinPure Hair Serum</t>
        </is>
      </c>
      <c r="C44" t="inlineStr">
        <is>
          <t>SkinPure</t>
        </is>
      </c>
      <c r="D44" t="inlineStr">
        <is>
          <t>Hair Care</t>
        </is>
      </c>
      <c r="E44" t="n">
        <v>499</v>
      </c>
      <c r="F44" t="n">
        <v>3.9</v>
      </c>
      <c r="G44" t="n">
        <v>2365</v>
      </c>
      <c r="H44" t="inlineStr">
        <is>
          <t>In Stock</t>
        </is>
      </c>
      <c r="I44" t="inlineStr">
        <is>
          <t>Live</t>
        </is>
      </c>
      <c r="J44" t="inlineStr">
        <is>
          <t>Missing</t>
        </is>
      </c>
      <c r="K44" t="inlineStr">
        <is>
          <t>Complete</t>
        </is>
      </c>
      <c r="L44" t="inlineStr">
        <is>
          <t>Complete</t>
        </is>
      </c>
      <c r="M44" t="inlineStr">
        <is>
          <t>Complete</t>
        </is>
      </c>
      <c r="N44" t="inlineStr">
        <is>
          <t>Complete</t>
        </is>
      </c>
      <c r="O44" s="2">
        <f>COUNTIF(J44:N44,"Complete")/5</f>
        <v/>
      </c>
      <c r="P44" t="inlineStr">
        <is>
          <t>Content Issue</t>
        </is>
      </c>
      <c r="Q44" t="inlineStr">
        <is>
          <t>Medium</t>
        </is>
      </c>
    </row>
    <row r="45">
      <c r="A45" t="inlineStr">
        <is>
          <t>SKU044</t>
        </is>
      </c>
      <c r="B45" t="inlineStr">
        <is>
          <t>DermaGlow Moisturizer</t>
        </is>
      </c>
      <c r="C45" t="inlineStr">
        <is>
          <t>DermaGlow</t>
        </is>
      </c>
      <c r="D45" t="inlineStr">
        <is>
          <t>Skincare</t>
        </is>
      </c>
      <c r="E45" t="n">
        <v>599</v>
      </c>
      <c r="F45" t="n">
        <v>3.9</v>
      </c>
      <c r="G45" t="n">
        <v>4470</v>
      </c>
      <c r="H45" t="inlineStr">
        <is>
          <t>In Stock</t>
        </is>
      </c>
      <c r="I45" t="inlineStr">
        <is>
          <t>Live</t>
        </is>
      </c>
      <c r="J45" t="inlineStr">
        <is>
          <t>Complete</t>
        </is>
      </c>
      <c r="K45" t="inlineStr">
        <is>
          <t>Complete</t>
        </is>
      </c>
      <c r="L45" t="inlineStr">
        <is>
          <t>Complete</t>
        </is>
      </c>
      <c r="M45" t="inlineStr">
        <is>
          <t>Missing</t>
        </is>
      </c>
      <c r="N45" t="inlineStr">
        <is>
          <t>Complete</t>
        </is>
      </c>
      <c r="O45" s="2">
        <f>COUNTIF(J45:N45,"Complete")/5</f>
        <v/>
      </c>
      <c r="P45" t="inlineStr">
        <is>
          <t>Content Issue</t>
        </is>
      </c>
      <c r="Q45" t="inlineStr">
        <is>
          <t>Medium</t>
        </is>
      </c>
    </row>
    <row r="46">
      <c r="A46" t="inlineStr">
        <is>
          <t>SKU045</t>
        </is>
      </c>
      <c r="B46" t="inlineStr">
        <is>
          <t>GlowLab Hand Cream</t>
        </is>
      </c>
      <c r="C46" t="inlineStr">
        <is>
          <t>GlowLab</t>
        </is>
      </c>
      <c r="D46" t="inlineStr">
        <is>
          <t>Body Care</t>
        </is>
      </c>
      <c r="E46" t="n">
        <v>599</v>
      </c>
      <c r="F46" t="n">
        <v>4</v>
      </c>
      <c r="G46" t="n">
        <v>2906</v>
      </c>
      <c r="H46" t="inlineStr">
        <is>
          <t>In Stock</t>
        </is>
      </c>
      <c r="I46" t="inlineStr">
        <is>
          <t>Live</t>
        </is>
      </c>
      <c r="J46" t="inlineStr">
        <is>
          <t>Missing</t>
        </is>
      </c>
      <c r="K46" t="inlineStr">
        <is>
          <t>Complete</t>
        </is>
      </c>
      <c r="L46" t="inlineStr">
        <is>
          <t>Complete</t>
        </is>
      </c>
      <c r="M46" t="inlineStr">
        <is>
          <t>Complete</t>
        </is>
      </c>
      <c r="N46" t="inlineStr">
        <is>
          <t>Complete</t>
        </is>
      </c>
      <c r="O46" s="2">
        <f>COUNTIF(J46:N46,"Complete")/5</f>
        <v/>
      </c>
      <c r="P46" t="inlineStr">
        <is>
          <t>Content Issue</t>
        </is>
      </c>
      <c r="Q46" t="inlineStr">
        <is>
          <t>Medium</t>
        </is>
      </c>
    </row>
    <row r="47">
      <c r="A47" t="inlineStr">
        <is>
          <t>SKU046</t>
        </is>
      </c>
      <c r="B47" t="inlineStr">
        <is>
          <t>SkinPure Hand Cream</t>
        </is>
      </c>
      <c r="C47" t="inlineStr">
        <is>
          <t>SkinPure</t>
        </is>
      </c>
      <c r="D47" t="inlineStr">
        <is>
          <t>Body Care</t>
        </is>
      </c>
      <c r="E47" t="n">
        <v>699</v>
      </c>
      <c r="F47" t="n">
        <v>3.6</v>
      </c>
      <c r="G47" t="n">
        <v>3595</v>
      </c>
      <c r="H47" t="inlineStr">
        <is>
          <t>In Stock</t>
        </is>
      </c>
      <c r="I47" t="inlineStr">
        <is>
          <t>Live</t>
        </is>
      </c>
      <c r="J47" t="inlineStr">
        <is>
          <t>Complete</t>
        </is>
      </c>
      <c r="K47" t="inlineStr">
        <is>
          <t>Complete</t>
        </is>
      </c>
      <c r="L47" t="inlineStr">
        <is>
          <t>Complete</t>
        </is>
      </c>
      <c r="M47" t="inlineStr">
        <is>
          <t>Complete</t>
        </is>
      </c>
      <c r="N47" t="inlineStr">
        <is>
          <t>Missing</t>
        </is>
      </c>
      <c r="O47" s="2">
        <f>COUNTIF(J47:N47,"Complete")/5</f>
        <v/>
      </c>
      <c r="P47" t="inlineStr">
        <is>
          <t>Content Issue</t>
        </is>
      </c>
      <c r="Q47" t="inlineStr">
        <is>
          <t>Medium</t>
        </is>
      </c>
    </row>
    <row r="48">
      <c r="A48" t="inlineStr">
        <is>
          <t>SKU047</t>
        </is>
      </c>
      <c r="B48" t="inlineStr">
        <is>
          <t>GlowLab Eye Cream</t>
        </is>
      </c>
      <c r="C48" t="inlineStr">
        <is>
          <t>GlowLab</t>
        </is>
      </c>
      <c r="D48" t="inlineStr">
        <is>
          <t>Skincare</t>
        </is>
      </c>
      <c r="E48" t="n">
        <v>299</v>
      </c>
      <c r="F48" t="n">
        <v>4.7</v>
      </c>
      <c r="G48" t="n">
        <v>4648</v>
      </c>
      <c r="H48" t="inlineStr">
        <is>
          <t>In Stock</t>
        </is>
      </c>
      <c r="I48" t="inlineStr">
        <is>
          <t>Live</t>
        </is>
      </c>
      <c r="J48" t="inlineStr">
        <is>
          <t>Complete</t>
        </is>
      </c>
      <c r="K48" t="inlineStr">
        <is>
          <t>Complete</t>
        </is>
      </c>
      <c r="L48" t="inlineStr">
        <is>
          <t>Complete</t>
        </is>
      </c>
      <c r="M48" t="inlineStr">
        <is>
          <t>Complete</t>
        </is>
      </c>
      <c r="N48" t="inlineStr">
        <is>
          <t>Complete</t>
        </is>
      </c>
      <c r="O48" s="2">
        <f>COUNTIF(J48:N48,"Complete")/5</f>
        <v/>
      </c>
      <c r="P48" t="inlineStr">
        <is>
          <t>No Issue</t>
        </is>
      </c>
      <c r="Q48" t="inlineStr">
        <is>
          <t>Low</t>
        </is>
      </c>
    </row>
    <row r="49">
      <c r="A49" t="inlineStr">
        <is>
          <t>SKU048</t>
        </is>
      </c>
      <c r="B49" t="inlineStr">
        <is>
          <t>Aurelia Care Lip Balm</t>
        </is>
      </c>
      <c r="C49" t="inlineStr">
        <is>
          <t>Aurelia Care</t>
        </is>
      </c>
      <c r="D49" t="inlineStr">
        <is>
          <t>Lip Care</t>
        </is>
      </c>
      <c r="E49" t="n">
        <v>549</v>
      </c>
      <c r="F49" t="n">
        <v>4.5</v>
      </c>
      <c r="G49" t="n">
        <v>3130</v>
      </c>
      <c r="H49" t="inlineStr">
        <is>
          <t>Out of Stock</t>
        </is>
      </c>
      <c r="I49" t="inlineStr">
        <is>
          <t>Live</t>
        </is>
      </c>
      <c r="J49" t="inlineStr">
        <is>
          <t>Complete</t>
        </is>
      </c>
      <c r="K49" t="inlineStr">
        <is>
          <t>Complete</t>
        </is>
      </c>
      <c r="L49" t="inlineStr">
        <is>
          <t>Complete</t>
        </is>
      </c>
      <c r="M49" t="inlineStr">
        <is>
          <t>Complete</t>
        </is>
      </c>
      <c r="N49" t="inlineStr">
        <is>
          <t>Complete</t>
        </is>
      </c>
      <c r="O49" s="2">
        <f>COUNTIF(J49:N49,"Complete")/5</f>
        <v/>
      </c>
      <c r="P49" t="inlineStr">
        <is>
          <t>Availability Issue</t>
        </is>
      </c>
      <c r="Q49" t="inlineStr">
        <is>
          <t>High</t>
        </is>
      </c>
    </row>
    <row r="50">
      <c r="A50" t="inlineStr">
        <is>
          <t>SKU049</t>
        </is>
      </c>
      <c r="B50" t="inlineStr">
        <is>
          <t>SkinPure Cleanser</t>
        </is>
      </c>
      <c r="C50" t="inlineStr">
        <is>
          <t>SkinPure</t>
        </is>
      </c>
      <c r="D50" t="inlineStr">
        <is>
          <t>Skincare</t>
        </is>
      </c>
      <c r="E50" t="n">
        <v>999</v>
      </c>
      <c r="F50" t="n">
        <v>3.3</v>
      </c>
      <c r="G50" t="n">
        <v>354</v>
      </c>
      <c r="H50" t="inlineStr">
        <is>
          <t>Out of Stock</t>
        </is>
      </c>
      <c r="I50" t="inlineStr">
        <is>
          <t>Live</t>
        </is>
      </c>
      <c r="J50" t="inlineStr">
        <is>
          <t>Complete</t>
        </is>
      </c>
      <c r="K50" t="inlineStr">
        <is>
          <t>Complete</t>
        </is>
      </c>
      <c r="L50" t="inlineStr">
        <is>
          <t>Complete</t>
        </is>
      </c>
      <c r="M50" t="inlineStr">
        <is>
          <t>Complete</t>
        </is>
      </c>
      <c r="N50" t="inlineStr">
        <is>
          <t>Complete</t>
        </is>
      </c>
      <c r="O50" s="2">
        <f>COUNTIF(J50:N50,"Complete")/5</f>
        <v/>
      </c>
      <c r="P50" t="inlineStr">
        <is>
          <t>Availability Issue</t>
        </is>
      </c>
      <c r="Q50" t="inlineStr">
        <is>
          <t>High</t>
        </is>
      </c>
    </row>
    <row r="51">
      <c r="A51" t="inlineStr">
        <is>
          <t>SKU050</t>
        </is>
      </c>
      <c r="B51" t="inlineStr">
        <is>
          <t>SkinPure Eye Cream</t>
        </is>
      </c>
      <c r="C51" t="inlineStr">
        <is>
          <t>SkinPure</t>
        </is>
      </c>
      <c r="D51" t="inlineStr">
        <is>
          <t>Skincare</t>
        </is>
      </c>
      <c r="E51" t="n">
        <v>699</v>
      </c>
      <c r="F51" t="n">
        <v>4.4</v>
      </c>
      <c r="G51" t="n">
        <v>3046</v>
      </c>
      <c r="H51" t="inlineStr">
        <is>
          <t>In Stock</t>
        </is>
      </c>
      <c r="I51" t="inlineStr">
        <is>
          <t>Live</t>
        </is>
      </c>
      <c r="J51" t="inlineStr">
        <is>
          <t>Complete</t>
        </is>
      </c>
      <c r="K51" t="inlineStr">
        <is>
          <t>Complete</t>
        </is>
      </c>
      <c r="L51" t="inlineStr">
        <is>
          <t>Complete</t>
        </is>
      </c>
      <c r="M51" t="inlineStr">
        <is>
          <t>Missing</t>
        </is>
      </c>
      <c r="N51" t="inlineStr">
        <is>
          <t>Complete</t>
        </is>
      </c>
      <c r="O51" s="2">
        <f>COUNTIF(J51:N51,"Complete")/5</f>
        <v/>
      </c>
      <c r="P51" t="inlineStr">
        <is>
          <t>Content Issue</t>
        </is>
      </c>
      <c r="Q51" t="inlineStr">
        <is>
          <t>Medium</t>
        </is>
      </c>
    </row>
    <row r="52">
      <c r="A52" t="inlineStr">
        <is>
          <t>SKU051</t>
        </is>
      </c>
      <c r="B52" t="inlineStr">
        <is>
          <t>Aurelia Care Face Wash</t>
        </is>
      </c>
      <c r="C52" t="inlineStr">
        <is>
          <t>Aurelia Care</t>
        </is>
      </c>
      <c r="D52" t="inlineStr">
        <is>
          <t>Skincare</t>
        </is>
      </c>
      <c r="E52" t="n">
        <v>899</v>
      </c>
      <c r="F52" t="n">
        <v>4.4</v>
      </c>
      <c r="G52" t="n">
        <v>3099</v>
      </c>
      <c r="H52" t="inlineStr">
        <is>
          <t>In Stock</t>
        </is>
      </c>
      <c r="I52" t="inlineStr">
        <is>
          <t>Live</t>
        </is>
      </c>
      <c r="J52" t="inlineStr">
        <is>
          <t>Complete</t>
        </is>
      </c>
      <c r="K52" t="inlineStr">
        <is>
          <t>Complete</t>
        </is>
      </c>
      <c r="L52" t="inlineStr">
        <is>
          <t>Complete</t>
        </is>
      </c>
      <c r="M52" t="inlineStr">
        <is>
          <t>Complete</t>
        </is>
      </c>
      <c r="N52" t="inlineStr">
        <is>
          <t>Complete</t>
        </is>
      </c>
      <c r="O52" s="2">
        <f>COUNTIF(J52:N52,"Complete")/5</f>
        <v/>
      </c>
      <c r="P52" t="inlineStr">
        <is>
          <t>No Issue</t>
        </is>
      </c>
      <c r="Q52" t="inlineStr">
        <is>
          <t>Low</t>
        </is>
      </c>
    </row>
    <row r="53">
      <c r="A53" t="inlineStr">
        <is>
          <t>SKU052</t>
        </is>
      </c>
      <c r="B53" t="inlineStr">
        <is>
          <t>GlowLab Body Wash</t>
        </is>
      </c>
      <c r="C53" t="inlineStr">
        <is>
          <t>GlowLab</t>
        </is>
      </c>
      <c r="D53" t="inlineStr">
        <is>
          <t>Body Care</t>
        </is>
      </c>
      <c r="E53" t="n">
        <v>349</v>
      </c>
      <c r="F53" t="n">
        <v>4.6</v>
      </c>
      <c r="G53" t="n">
        <v>4661</v>
      </c>
      <c r="H53" t="inlineStr">
        <is>
          <t>In Stock</t>
        </is>
      </c>
      <c r="I53" t="inlineStr">
        <is>
          <t>Inactive</t>
        </is>
      </c>
      <c r="J53" t="inlineStr">
        <is>
          <t>Complete</t>
        </is>
      </c>
      <c r="K53" t="inlineStr">
        <is>
          <t>Complete</t>
        </is>
      </c>
      <c r="L53" t="inlineStr">
        <is>
          <t>Complete</t>
        </is>
      </c>
      <c r="M53" t="inlineStr">
        <is>
          <t>Complete</t>
        </is>
      </c>
      <c r="N53" t="inlineStr">
        <is>
          <t>Complete</t>
        </is>
      </c>
      <c r="O53" s="2">
        <f>COUNTIF(J53:N53,"Complete")/5</f>
        <v/>
      </c>
      <c r="P53" t="inlineStr">
        <is>
          <t>Listing Issue</t>
        </is>
      </c>
      <c r="Q53" t="inlineStr">
        <is>
          <t>Medium</t>
        </is>
      </c>
    </row>
    <row r="54">
      <c r="A54" t="inlineStr">
        <is>
          <t>SKU053</t>
        </is>
      </c>
      <c r="B54" t="inlineStr">
        <is>
          <t>DermaNest Sunscreen</t>
        </is>
      </c>
      <c r="C54" t="inlineStr">
        <is>
          <t>DermaNest</t>
        </is>
      </c>
      <c r="D54" t="inlineStr">
        <is>
          <t>Skincare</t>
        </is>
      </c>
      <c r="E54" t="n">
        <v>549</v>
      </c>
      <c r="F54" t="n">
        <v>4.3</v>
      </c>
      <c r="G54" t="n">
        <v>3791</v>
      </c>
      <c r="H54" t="inlineStr">
        <is>
          <t>In Stock</t>
        </is>
      </c>
      <c r="I54" t="inlineStr">
        <is>
          <t>Live</t>
        </is>
      </c>
      <c r="J54" t="inlineStr">
        <is>
          <t>Complete</t>
        </is>
      </c>
      <c r="K54" t="inlineStr">
        <is>
          <t>Missing</t>
        </is>
      </c>
      <c r="L54" t="inlineStr">
        <is>
          <t>Complete</t>
        </is>
      </c>
      <c r="M54" t="inlineStr">
        <is>
          <t>Complete</t>
        </is>
      </c>
      <c r="N54" t="inlineStr">
        <is>
          <t>Complete</t>
        </is>
      </c>
      <c r="O54" s="2">
        <f>COUNTIF(J54:N54,"Complete")/5</f>
        <v/>
      </c>
      <c r="P54" t="inlineStr">
        <is>
          <t>Content Issue</t>
        </is>
      </c>
      <c r="Q54" t="inlineStr">
        <is>
          <t>Medium</t>
        </is>
      </c>
    </row>
    <row r="55">
      <c r="A55" t="inlineStr">
        <is>
          <t>SKU054</t>
        </is>
      </c>
      <c r="B55" t="inlineStr">
        <is>
          <t>DermaNest Lip Balm</t>
        </is>
      </c>
      <c r="C55" t="inlineStr">
        <is>
          <t>DermaNest</t>
        </is>
      </c>
      <c r="D55" t="inlineStr">
        <is>
          <t>Lip Care</t>
        </is>
      </c>
      <c r="E55" t="n">
        <v>599</v>
      </c>
      <c r="F55" t="n">
        <v>4.6</v>
      </c>
      <c r="G55" t="n">
        <v>2223</v>
      </c>
      <c r="H55" t="inlineStr">
        <is>
          <t>In Stock</t>
        </is>
      </c>
      <c r="I55" t="inlineStr">
        <is>
          <t>Live</t>
        </is>
      </c>
      <c r="J55" t="inlineStr">
        <is>
          <t>Missing</t>
        </is>
      </c>
      <c r="K55" t="inlineStr">
        <is>
          <t>Complete</t>
        </is>
      </c>
      <c r="L55" t="inlineStr">
        <is>
          <t>Complete</t>
        </is>
      </c>
      <c r="M55" t="inlineStr">
        <is>
          <t>Complete</t>
        </is>
      </c>
      <c r="N55" t="inlineStr">
        <is>
          <t>Complete</t>
        </is>
      </c>
      <c r="O55" s="2">
        <f>COUNTIF(J55:N55,"Complete")/5</f>
        <v/>
      </c>
      <c r="P55" t="inlineStr">
        <is>
          <t>Content Issue</t>
        </is>
      </c>
      <c r="Q55" t="inlineStr">
        <is>
          <t>Medium</t>
        </is>
      </c>
    </row>
    <row r="56">
      <c r="A56" t="inlineStr">
        <is>
          <t>SKU055</t>
        </is>
      </c>
      <c r="B56" t="inlineStr">
        <is>
          <t>DermaNest Hair Serum</t>
        </is>
      </c>
      <c r="C56" t="inlineStr">
        <is>
          <t>DermaNest</t>
        </is>
      </c>
      <c r="D56" t="inlineStr">
        <is>
          <t>Hair Care</t>
        </is>
      </c>
      <c r="E56" t="n">
        <v>549</v>
      </c>
      <c r="F56" t="n">
        <v>3.2</v>
      </c>
      <c r="G56" t="n">
        <v>2687</v>
      </c>
      <c r="H56" t="inlineStr">
        <is>
          <t>In Stock</t>
        </is>
      </c>
      <c r="I56" t="inlineStr">
        <is>
          <t>Live</t>
        </is>
      </c>
      <c r="J56" t="inlineStr">
        <is>
          <t>Complete</t>
        </is>
      </c>
      <c r="K56" t="inlineStr">
        <is>
          <t>Complete</t>
        </is>
      </c>
      <c r="L56" t="inlineStr">
        <is>
          <t>Missing</t>
        </is>
      </c>
      <c r="M56" t="inlineStr">
        <is>
          <t>Complete</t>
        </is>
      </c>
      <c r="N56" t="inlineStr">
        <is>
          <t>Complete</t>
        </is>
      </c>
      <c r="O56" s="2">
        <f>COUNTIF(J56:N56,"Complete")/5</f>
        <v/>
      </c>
      <c r="P56" t="inlineStr">
        <is>
          <t>Content Issue</t>
        </is>
      </c>
      <c r="Q56" t="inlineStr">
        <is>
          <t>Medium</t>
        </is>
      </c>
    </row>
    <row r="57">
      <c r="A57" t="inlineStr">
        <is>
          <t>SKU056</t>
        </is>
      </c>
      <c r="B57" t="inlineStr">
        <is>
          <t>GlowLab Face Wash</t>
        </is>
      </c>
      <c r="C57" t="inlineStr">
        <is>
          <t>GlowLab</t>
        </is>
      </c>
      <c r="D57" t="inlineStr">
        <is>
          <t>Skincare</t>
        </is>
      </c>
      <c r="E57" t="n">
        <v>449</v>
      </c>
      <c r="F57" t="n">
        <v>3.3</v>
      </c>
      <c r="G57" t="n">
        <v>3354</v>
      </c>
      <c r="H57" t="inlineStr">
        <is>
          <t>In Stock</t>
        </is>
      </c>
      <c r="I57" t="inlineStr">
        <is>
          <t>Live</t>
        </is>
      </c>
      <c r="J57" t="inlineStr">
        <is>
          <t>Complete</t>
        </is>
      </c>
      <c r="K57" t="inlineStr">
        <is>
          <t>Complete</t>
        </is>
      </c>
      <c r="L57" t="inlineStr">
        <is>
          <t>Complete</t>
        </is>
      </c>
      <c r="M57" t="inlineStr">
        <is>
          <t>Complete</t>
        </is>
      </c>
      <c r="N57" t="inlineStr">
        <is>
          <t>Complete</t>
        </is>
      </c>
      <c r="O57" s="2">
        <f>COUNTIF(J57:N57,"Complete")/5</f>
        <v/>
      </c>
      <c r="P57" t="inlineStr">
        <is>
          <t>Rating Issue</t>
        </is>
      </c>
      <c r="Q57" t="inlineStr">
        <is>
          <t>Medium</t>
        </is>
      </c>
    </row>
    <row r="58">
      <c r="A58" t="inlineStr">
        <is>
          <t>SKU057</t>
        </is>
      </c>
      <c r="B58" t="inlineStr">
        <is>
          <t>DermaNest Moisturizer</t>
        </is>
      </c>
      <c r="C58" t="inlineStr">
        <is>
          <t>DermaNest</t>
        </is>
      </c>
      <c r="D58" t="inlineStr">
        <is>
          <t>Skincare</t>
        </is>
      </c>
      <c r="E58" t="n">
        <v>1199</v>
      </c>
      <c r="F58" t="n">
        <v>3.6</v>
      </c>
      <c r="G58" t="n">
        <v>4789</v>
      </c>
      <c r="H58" t="inlineStr">
        <is>
          <t>In Stock</t>
        </is>
      </c>
      <c r="I58" t="inlineStr">
        <is>
          <t>Live</t>
        </is>
      </c>
      <c r="J58" t="inlineStr">
        <is>
          <t>Complete</t>
        </is>
      </c>
      <c r="K58" t="inlineStr">
        <is>
          <t>Missing</t>
        </is>
      </c>
      <c r="L58" t="inlineStr">
        <is>
          <t>Complete</t>
        </is>
      </c>
      <c r="M58" t="inlineStr">
        <is>
          <t>Complete</t>
        </is>
      </c>
      <c r="N58" t="inlineStr">
        <is>
          <t>Complete</t>
        </is>
      </c>
      <c r="O58" s="2">
        <f>COUNTIF(J58:N58,"Complete")/5</f>
        <v/>
      </c>
      <c r="P58" t="inlineStr">
        <is>
          <t>Content Issue</t>
        </is>
      </c>
      <c r="Q58" t="inlineStr">
        <is>
          <t>Medium</t>
        </is>
      </c>
    </row>
    <row r="59">
      <c r="A59" t="inlineStr">
        <is>
          <t>SKU058</t>
        </is>
      </c>
      <c r="B59" t="inlineStr">
        <is>
          <t>Aurelia Care Niacinamide Serum</t>
        </is>
      </c>
      <c r="C59" t="inlineStr">
        <is>
          <t>Aurelia Care</t>
        </is>
      </c>
      <c r="D59" t="inlineStr">
        <is>
          <t>Skincare</t>
        </is>
      </c>
      <c r="E59" t="n">
        <v>449</v>
      </c>
      <c r="F59" t="n">
        <v>3.4</v>
      </c>
      <c r="G59" t="n">
        <v>1602</v>
      </c>
      <c r="H59" t="inlineStr">
        <is>
          <t>In Stock</t>
        </is>
      </c>
      <c r="I59" t="inlineStr">
        <is>
          <t>Live</t>
        </is>
      </c>
      <c r="J59" t="inlineStr">
        <is>
          <t>Missing</t>
        </is>
      </c>
      <c r="K59" t="inlineStr">
        <is>
          <t>Complete</t>
        </is>
      </c>
      <c r="L59" t="inlineStr">
        <is>
          <t>Complete</t>
        </is>
      </c>
      <c r="M59" t="inlineStr">
        <is>
          <t>Complete</t>
        </is>
      </c>
      <c r="N59" t="inlineStr">
        <is>
          <t>Complete</t>
        </is>
      </c>
      <c r="O59" s="2">
        <f>COUNTIF(J59:N59,"Complete")/5</f>
        <v/>
      </c>
      <c r="P59" t="inlineStr">
        <is>
          <t>Content Issue</t>
        </is>
      </c>
      <c r="Q59" t="inlineStr">
        <is>
          <t>Medium</t>
        </is>
      </c>
    </row>
    <row r="60">
      <c r="A60" t="inlineStr">
        <is>
          <t>SKU059</t>
        </is>
      </c>
      <c r="B60" t="inlineStr">
        <is>
          <t>GlowLab Eye Cream</t>
        </is>
      </c>
      <c r="C60" t="inlineStr">
        <is>
          <t>GlowLab</t>
        </is>
      </c>
      <c r="D60" t="inlineStr">
        <is>
          <t>Skincare</t>
        </is>
      </c>
      <c r="E60" t="n">
        <v>899</v>
      </c>
      <c r="F60" t="n">
        <v>3.7</v>
      </c>
      <c r="G60" t="n">
        <v>848</v>
      </c>
      <c r="H60" t="inlineStr">
        <is>
          <t>Out of Stock</t>
        </is>
      </c>
      <c r="I60" t="inlineStr">
        <is>
          <t>Inactive</t>
        </is>
      </c>
      <c r="J60" t="inlineStr">
        <is>
          <t>Complete</t>
        </is>
      </c>
      <c r="K60" t="inlineStr">
        <is>
          <t>Complete</t>
        </is>
      </c>
      <c r="L60" t="inlineStr">
        <is>
          <t>Complete</t>
        </is>
      </c>
      <c r="M60" t="inlineStr">
        <is>
          <t>Complete</t>
        </is>
      </c>
      <c r="N60" t="inlineStr">
        <is>
          <t>Complete</t>
        </is>
      </c>
      <c r="O60" s="2">
        <f>COUNTIF(J60:N60,"Complete")/5</f>
        <v/>
      </c>
      <c r="P60" t="inlineStr">
        <is>
          <t>Listing Issue</t>
        </is>
      </c>
      <c r="Q60" t="inlineStr">
        <is>
          <t>High</t>
        </is>
      </c>
    </row>
    <row r="61">
      <c r="A61" t="inlineStr">
        <is>
          <t>SKU060</t>
        </is>
      </c>
      <c r="B61" t="inlineStr">
        <is>
          <t>SkinPure Niacinamide Serum</t>
        </is>
      </c>
      <c r="C61" t="inlineStr">
        <is>
          <t>SkinPure</t>
        </is>
      </c>
      <c r="D61" t="inlineStr">
        <is>
          <t>Skincare</t>
        </is>
      </c>
      <c r="E61" t="n">
        <v>999</v>
      </c>
      <c r="F61" t="n">
        <v>4.7</v>
      </c>
      <c r="G61" t="n">
        <v>4046</v>
      </c>
      <c r="H61" t="inlineStr">
        <is>
          <t>In Stock</t>
        </is>
      </c>
      <c r="I61" t="inlineStr">
        <is>
          <t>Live</t>
        </is>
      </c>
      <c r="J61" t="inlineStr">
        <is>
          <t>Complete</t>
        </is>
      </c>
      <c r="K61" t="inlineStr">
        <is>
          <t>Complete</t>
        </is>
      </c>
      <c r="L61" t="inlineStr">
        <is>
          <t>Complete</t>
        </is>
      </c>
      <c r="M61" t="inlineStr">
        <is>
          <t>Missing</t>
        </is>
      </c>
      <c r="N61" t="inlineStr">
        <is>
          <t>Complete</t>
        </is>
      </c>
      <c r="O61" s="2">
        <f>COUNTIF(J61:N61,"Complete")/5</f>
        <v/>
      </c>
      <c r="P61" t="inlineStr">
        <is>
          <t>Content Issue</t>
        </is>
      </c>
      <c r="Q61" t="inlineStr">
        <is>
          <t>Medium</t>
        </is>
      </c>
    </row>
    <row r="62">
      <c r="A62" t="inlineStr">
        <is>
          <t>SKU061</t>
        </is>
      </c>
      <c r="B62" t="inlineStr">
        <is>
          <t>DermaNest Body Wash</t>
        </is>
      </c>
      <c r="C62" t="inlineStr">
        <is>
          <t>DermaNest</t>
        </is>
      </c>
      <c r="D62" t="inlineStr">
        <is>
          <t>Body Care</t>
        </is>
      </c>
      <c r="E62" t="n">
        <v>349</v>
      </c>
      <c r="F62" t="n">
        <v>4.6</v>
      </c>
      <c r="G62" t="n">
        <v>3307</v>
      </c>
      <c r="H62" t="inlineStr">
        <is>
          <t>In Stock</t>
        </is>
      </c>
      <c r="I62" t="inlineStr">
        <is>
          <t>Live</t>
        </is>
      </c>
      <c r="J62" t="inlineStr">
        <is>
          <t>Complete</t>
        </is>
      </c>
      <c r="K62" t="inlineStr">
        <is>
          <t>Complete</t>
        </is>
      </c>
      <c r="L62" t="inlineStr">
        <is>
          <t>Complete</t>
        </is>
      </c>
      <c r="M62" t="inlineStr">
        <is>
          <t>Missing</t>
        </is>
      </c>
      <c r="N62" t="inlineStr">
        <is>
          <t>Complete</t>
        </is>
      </c>
      <c r="O62" s="2">
        <f>COUNTIF(J62:N62,"Complete")/5</f>
        <v/>
      </c>
      <c r="P62" t="inlineStr">
        <is>
          <t>Content Issue</t>
        </is>
      </c>
      <c r="Q62" t="inlineStr">
        <is>
          <t>Medium</t>
        </is>
      </c>
    </row>
    <row r="63">
      <c r="A63" t="inlineStr">
        <is>
          <t>SKU062</t>
        </is>
      </c>
      <c r="B63" t="inlineStr">
        <is>
          <t>DermaGlow Moisturizer</t>
        </is>
      </c>
      <c r="C63" t="inlineStr">
        <is>
          <t>DermaGlow</t>
        </is>
      </c>
      <c r="D63" t="inlineStr">
        <is>
          <t>Skincare</t>
        </is>
      </c>
      <c r="E63" t="n">
        <v>799</v>
      </c>
      <c r="F63" t="n">
        <v>4.5</v>
      </c>
      <c r="G63" t="n">
        <v>1873</v>
      </c>
      <c r="H63" t="inlineStr">
        <is>
          <t>In Stock</t>
        </is>
      </c>
      <c r="I63" t="inlineStr">
        <is>
          <t>Live</t>
        </is>
      </c>
      <c r="J63" t="inlineStr">
        <is>
          <t>Missing</t>
        </is>
      </c>
      <c r="K63" t="inlineStr">
        <is>
          <t>Complete</t>
        </is>
      </c>
      <c r="L63" t="inlineStr">
        <is>
          <t>Complete</t>
        </is>
      </c>
      <c r="M63" t="inlineStr">
        <is>
          <t>Complete</t>
        </is>
      </c>
      <c r="N63" t="inlineStr">
        <is>
          <t>Complete</t>
        </is>
      </c>
      <c r="O63" s="2">
        <f>COUNTIF(J63:N63,"Complete")/5</f>
        <v/>
      </c>
      <c r="P63" t="inlineStr">
        <is>
          <t>Content Issue</t>
        </is>
      </c>
      <c r="Q63" t="inlineStr">
        <is>
          <t>Medium</t>
        </is>
      </c>
    </row>
    <row r="64">
      <c r="A64" t="inlineStr">
        <is>
          <t>SKU063</t>
        </is>
      </c>
      <c r="B64" t="inlineStr">
        <is>
          <t>GlowLab Face Wash</t>
        </is>
      </c>
      <c r="C64" t="inlineStr">
        <is>
          <t>GlowLab</t>
        </is>
      </c>
      <c r="D64" t="inlineStr">
        <is>
          <t>Skincare</t>
        </is>
      </c>
      <c r="E64" t="n">
        <v>1199</v>
      </c>
      <c r="F64" t="n">
        <v>3.4</v>
      </c>
      <c r="G64" t="n">
        <v>1727</v>
      </c>
      <c r="H64" t="inlineStr">
        <is>
          <t>In Stock</t>
        </is>
      </c>
      <c r="I64" t="inlineStr">
        <is>
          <t>Live</t>
        </is>
      </c>
      <c r="J64" t="inlineStr">
        <is>
          <t>Complete</t>
        </is>
      </c>
      <c r="K64" t="inlineStr">
        <is>
          <t>Complete</t>
        </is>
      </c>
      <c r="L64" t="inlineStr">
        <is>
          <t>Complete</t>
        </is>
      </c>
      <c r="M64" t="inlineStr">
        <is>
          <t>Complete</t>
        </is>
      </c>
      <c r="N64" t="inlineStr">
        <is>
          <t>Complete</t>
        </is>
      </c>
      <c r="O64" s="2">
        <f>COUNTIF(J64:N64,"Complete")/5</f>
        <v/>
      </c>
      <c r="P64" t="inlineStr">
        <is>
          <t>Rating Issue</t>
        </is>
      </c>
      <c r="Q64" t="inlineStr">
        <is>
          <t>Medium</t>
        </is>
      </c>
    </row>
    <row r="65">
      <c r="A65" t="inlineStr">
        <is>
          <t>SKU064</t>
        </is>
      </c>
      <c r="B65" t="inlineStr">
        <is>
          <t>GlowLab Shampoo</t>
        </is>
      </c>
      <c r="C65" t="inlineStr">
        <is>
          <t>GlowLab</t>
        </is>
      </c>
      <c r="D65" t="inlineStr">
        <is>
          <t>Hair Care</t>
        </is>
      </c>
      <c r="E65" t="n">
        <v>699</v>
      </c>
      <c r="F65" t="n">
        <v>3.7</v>
      </c>
      <c r="G65" t="n">
        <v>1921</v>
      </c>
      <c r="H65" t="inlineStr">
        <is>
          <t>In Stock</t>
        </is>
      </c>
      <c r="I65" t="inlineStr">
        <is>
          <t>Live</t>
        </is>
      </c>
      <c r="J65" t="inlineStr">
        <is>
          <t>Complete</t>
        </is>
      </c>
      <c r="K65" t="inlineStr">
        <is>
          <t>Complete</t>
        </is>
      </c>
      <c r="L65" t="inlineStr">
        <is>
          <t>Complete</t>
        </is>
      </c>
      <c r="M65" t="inlineStr">
        <is>
          <t>Complete</t>
        </is>
      </c>
      <c r="N65" t="inlineStr">
        <is>
          <t>Complete</t>
        </is>
      </c>
      <c r="O65" s="2">
        <f>COUNTIF(J65:N65,"Complete")/5</f>
        <v/>
      </c>
      <c r="P65" t="inlineStr">
        <is>
          <t>Rating Issue</t>
        </is>
      </c>
      <c r="Q65" t="inlineStr">
        <is>
          <t>Medium</t>
        </is>
      </c>
    </row>
    <row r="66">
      <c r="A66" t="inlineStr">
        <is>
          <t>SKU065</t>
        </is>
      </c>
      <c r="B66" t="inlineStr">
        <is>
          <t>SkinPure Eye Cream</t>
        </is>
      </c>
      <c r="C66" t="inlineStr">
        <is>
          <t>SkinPure</t>
        </is>
      </c>
      <c r="D66" t="inlineStr">
        <is>
          <t>Skincare</t>
        </is>
      </c>
      <c r="E66" t="n">
        <v>599</v>
      </c>
      <c r="F66" t="n">
        <v>3.4</v>
      </c>
      <c r="G66" t="n">
        <v>1866</v>
      </c>
      <c r="H66" t="inlineStr">
        <is>
          <t>Out of Stock</t>
        </is>
      </c>
      <c r="I66" t="inlineStr">
        <is>
          <t>Live</t>
        </is>
      </c>
      <c r="J66" t="inlineStr">
        <is>
          <t>Complete</t>
        </is>
      </c>
      <c r="K66" t="inlineStr">
        <is>
          <t>Complete</t>
        </is>
      </c>
      <c r="L66" t="inlineStr">
        <is>
          <t>Complete</t>
        </is>
      </c>
      <c r="M66" t="inlineStr">
        <is>
          <t>Complete</t>
        </is>
      </c>
      <c r="N66" t="inlineStr">
        <is>
          <t>Complete</t>
        </is>
      </c>
      <c r="O66" s="2">
        <f>COUNTIF(J66:N66,"Complete")/5</f>
        <v/>
      </c>
      <c r="P66" t="inlineStr">
        <is>
          <t>Availability Issue</t>
        </is>
      </c>
      <c r="Q66" t="inlineStr">
        <is>
          <t>High</t>
        </is>
      </c>
    </row>
    <row r="67">
      <c r="A67" t="inlineStr">
        <is>
          <t>SKU066</t>
        </is>
      </c>
      <c r="B67" t="inlineStr">
        <is>
          <t>Aurelia Care Eye Cream</t>
        </is>
      </c>
      <c r="C67" t="inlineStr">
        <is>
          <t>Aurelia Care</t>
        </is>
      </c>
      <c r="D67" t="inlineStr">
        <is>
          <t>Skincare</t>
        </is>
      </c>
      <c r="E67" t="n">
        <v>699</v>
      </c>
      <c r="F67" t="n">
        <v>3.4</v>
      </c>
      <c r="G67" t="n">
        <v>2516</v>
      </c>
      <c r="H67" t="inlineStr">
        <is>
          <t>Out of Stock</t>
        </is>
      </c>
      <c r="I67" t="inlineStr">
        <is>
          <t>Live</t>
        </is>
      </c>
      <c r="J67" t="inlineStr">
        <is>
          <t>Complete</t>
        </is>
      </c>
      <c r="K67" t="inlineStr">
        <is>
          <t>Complete</t>
        </is>
      </c>
      <c r="L67" t="inlineStr">
        <is>
          <t>Complete</t>
        </is>
      </c>
      <c r="M67" t="inlineStr">
        <is>
          <t>Complete</t>
        </is>
      </c>
      <c r="N67" t="inlineStr">
        <is>
          <t>Complete</t>
        </is>
      </c>
      <c r="O67" s="2">
        <f>COUNTIF(J67:N67,"Complete")/5</f>
        <v/>
      </c>
      <c r="P67" t="inlineStr">
        <is>
          <t>Availability Issue</t>
        </is>
      </c>
      <c r="Q67" t="inlineStr">
        <is>
          <t>High</t>
        </is>
      </c>
    </row>
    <row r="68">
      <c r="A68" t="inlineStr">
        <is>
          <t>SKU067</t>
        </is>
      </c>
      <c r="B68" t="inlineStr">
        <is>
          <t>GlowLab Cleanser</t>
        </is>
      </c>
      <c r="C68" t="inlineStr">
        <is>
          <t>GlowLab</t>
        </is>
      </c>
      <c r="D68" t="inlineStr">
        <is>
          <t>Skincare</t>
        </is>
      </c>
      <c r="E68" t="n">
        <v>499</v>
      </c>
      <c r="F68" t="n">
        <v>3.2</v>
      </c>
      <c r="G68" t="n">
        <v>1900</v>
      </c>
      <c r="H68" t="inlineStr">
        <is>
          <t>Out of Stock</t>
        </is>
      </c>
      <c r="I68" t="inlineStr">
        <is>
          <t>Suppressed</t>
        </is>
      </c>
      <c r="J68" t="inlineStr">
        <is>
          <t>Missing</t>
        </is>
      </c>
      <c r="K68" t="inlineStr">
        <is>
          <t>Missing</t>
        </is>
      </c>
      <c r="L68" t="inlineStr">
        <is>
          <t>Missing</t>
        </is>
      </c>
      <c r="M68" t="inlineStr">
        <is>
          <t>Complete</t>
        </is>
      </c>
      <c r="N68" t="inlineStr">
        <is>
          <t>Complete</t>
        </is>
      </c>
      <c r="O68" s="2">
        <f>COUNTIF(J68:N68,"Complete")/5</f>
        <v/>
      </c>
      <c r="P68" t="inlineStr">
        <is>
          <t>Listing Issue</t>
        </is>
      </c>
      <c r="Q68" t="inlineStr">
        <is>
          <t>High</t>
        </is>
      </c>
    </row>
    <row r="69">
      <c r="A69" t="inlineStr">
        <is>
          <t>SKU068</t>
        </is>
      </c>
      <c r="B69" t="inlineStr">
        <is>
          <t>SkinPure Conditioner</t>
        </is>
      </c>
      <c r="C69" t="inlineStr">
        <is>
          <t>SkinPure</t>
        </is>
      </c>
      <c r="D69" t="inlineStr">
        <is>
          <t>Hair Care</t>
        </is>
      </c>
      <c r="E69" t="n">
        <v>699</v>
      </c>
      <c r="F69" t="n">
        <v>4.1</v>
      </c>
      <c r="G69" t="n">
        <v>3647</v>
      </c>
      <c r="H69" t="inlineStr">
        <is>
          <t>In Stock</t>
        </is>
      </c>
      <c r="I69" t="inlineStr">
        <is>
          <t>Suppressed</t>
        </is>
      </c>
      <c r="J69" t="inlineStr">
        <is>
          <t>Complete</t>
        </is>
      </c>
      <c r="K69" t="inlineStr">
        <is>
          <t>Complete</t>
        </is>
      </c>
      <c r="L69" t="inlineStr">
        <is>
          <t>Missing</t>
        </is>
      </c>
      <c r="M69" t="inlineStr">
        <is>
          <t>Complete</t>
        </is>
      </c>
      <c r="N69" t="inlineStr">
        <is>
          <t>Complete</t>
        </is>
      </c>
      <c r="O69" s="2">
        <f>COUNTIF(J69:N69,"Complete")/5</f>
        <v/>
      </c>
      <c r="P69" t="inlineStr">
        <is>
          <t>Listing Issue</t>
        </is>
      </c>
      <c r="Q69" t="inlineStr">
        <is>
          <t>High</t>
        </is>
      </c>
    </row>
    <row r="70">
      <c r="A70" t="inlineStr">
        <is>
          <t>SKU069</t>
        </is>
      </c>
      <c r="B70" t="inlineStr">
        <is>
          <t>DermaGlow Cleanser</t>
        </is>
      </c>
      <c r="C70" t="inlineStr">
        <is>
          <t>DermaGlow</t>
        </is>
      </c>
      <c r="D70" t="inlineStr">
        <is>
          <t>Skincare</t>
        </is>
      </c>
      <c r="E70" t="n">
        <v>399</v>
      </c>
      <c r="F70" t="n">
        <v>3.8</v>
      </c>
      <c r="G70" t="n">
        <v>4083</v>
      </c>
      <c r="H70" t="inlineStr">
        <is>
          <t>Out of Stock</t>
        </is>
      </c>
      <c r="I70" t="inlineStr">
        <is>
          <t>Live</t>
        </is>
      </c>
      <c r="J70" t="inlineStr">
        <is>
          <t>Complete</t>
        </is>
      </c>
      <c r="K70" t="inlineStr">
        <is>
          <t>Complete</t>
        </is>
      </c>
      <c r="L70" t="inlineStr">
        <is>
          <t>Complete</t>
        </is>
      </c>
      <c r="M70" t="inlineStr">
        <is>
          <t>Complete</t>
        </is>
      </c>
      <c r="N70" t="inlineStr">
        <is>
          <t>Complete</t>
        </is>
      </c>
      <c r="O70" s="2">
        <f>COUNTIF(J70:N70,"Complete")/5</f>
        <v/>
      </c>
      <c r="P70" t="inlineStr">
        <is>
          <t>Availability Issue</t>
        </is>
      </c>
      <c r="Q70" t="inlineStr">
        <is>
          <t>High</t>
        </is>
      </c>
    </row>
    <row r="71">
      <c r="A71" t="inlineStr">
        <is>
          <t>SKU070</t>
        </is>
      </c>
      <c r="B71" t="inlineStr">
        <is>
          <t>DermaNest Conditioner</t>
        </is>
      </c>
      <c r="C71" t="inlineStr">
        <is>
          <t>DermaNest</t>
        </is>
      </c>
      <c r="D71" t="inlineStr">
        <is>
          <t>Hair Care</t>
        </is>
      </c>
      <c r="E71" t="n">
        <v>799</v>
      </c>
      <c r="F71" t="n">
        <v>4.6</v>
      </c>
      <c r="G71" t="n">
        <v>34</v>
      </c>
      <c r="H71" t="inlineStr">
        <is>
          <t>In Stock</t>
        </is>
      </c>
      <c r="I71" t="inlineStr">
        <is>
          <t>Live</t>
        </is>
      </c>
      <c r="J71" t="inlineStr">
        <is>
          <t>Complete</t>
        </is>
      </c>
      <c r="K71" t="inlineStr">
        <is>
          <t>Complete</t>
        </is>
      </c>
      <c r="L71" t="inlineStr">
        <is>
          <t>Complete</t>
        </is>
      </c>
      <c r="M71" t="inlineStr">
        <is>
          <t>Complete</t>
        </is>
      </c>
      <c r="N71" t="inlineStr">
        <is>
          <t>Complete</t>
        </is>
      </c>
      <c r="O71" s="2">
        <f>COUNTIF(J71:N71,"Complete")/5</f>
        <v/>
      </c>
      <c r="P71" t="inlineStr">
        <is>
          <t>No Issue</t>
        </is>
      </c>
      <c r="Q71" t="inlineStr">
        <is>
          <t>Low</t>
        </is>
      </c>
    </row>
    <row r="72">
      <c r="A72" t="inlineStr">
        <is>
          <t>SKU071</t>
        </is>
      </c>
      <c r="B72" t="inlineStr">
        <is>
          <t>DermaGlow Conditioner</t>
        </is>
      </c>
      <c r="C72" t="inlineStr">
        <is>
          <t>DermaGlow</t>
        </is>
      </c>
      <c r="D72" t="inlineStr">
        <is>
          <t>Hair Care</t>
        </is>
      </c>
      <c r="E72" t="n">
        <v>449</v>
      </c>
      <c r="F72" t="n">
        <v>3.7</v>
      </c>
      <c r="G72" t="n">
        <v>1098</v>
      </c>
      <c r="H72" t="inlineStr">
        <is>
          <t>In Stock</t>
        </is>
      </c>
      <c r="I72" t="inlineStr">
        <is>
          <t>Suppressed</t>
        </is>
      </c>
      <c r="J72" t="inlineStr">
        <is>
          <t>Complete</t>
        </is>
      </c>
      <c r="K72" t="inlineStr">
        <is>
          <t>Missing</t>
        </is>
      </c>
      <c r="L72" t="inlineStr">
        <is>
          <t>Missing</t>
        </is>
      </c>
      <c r="M72" t="inlineStr">
        <is>
          <t>Complete</t>
        </is>
      </c>
      <c r="N72" t="inlineStr">
        <is>
          <t>Complete</t>
        </is>
      </c>
      <c r="O72" s="2">
        <f>COUNTIF(J72:N72,"Complete")/5</f>
        <v/>
      </c>
      <c r="P72" t="inlineStr">
        <is>
          <t>Listing Issue</t>
        </is>
      </c>
      <c r="Q72" t="inlineStr">
        <is>
          <t>High</t>
        </is>
      </c>
    </row>
    <row r="73">
      <c r="A73" t="inlineStr">
        <is>
          <t>SKU072</t>
        </is>
      </c>
      <c r="B73" t="inlineStr">
        <is>
          <t>GlowLab Niacinamide Serum</t>
        </is>
      </c>
      <c r="C73" t="inlineStr">
        <is>
          <t>GlowLab</t>
        </is>
      </c>
      <c r="D73" t="inlineStr">
        <is>
          <t>Skincare</t>
        </is>
      </c>
      <c r="E73" t="n">
        <v>299</v>
      </c>
      <c r="F73" t="n">
        <v>4.1</v>
      </c>
      <c r="G73" t="n">
        <v>788</v>
      </c>
      <c r="H73" t="inlineStr">
        <is>
          <t>Out of Stock</t>
        </is>
      </c>
      <c r="I73" t="inlineStr">
        <is>
          <t>Live</t>
        </is>
      </c>
      <c r="J73" t="inlineStr">
        <is>
          <t>Complete</t>
        </is>
      </c>
      <c r="K73" t="inlineStr">
        <is>
          <t>Missing</t>
        </is>
      </c>
      <c r="L73" t="inlineStr">
        <is>
          <t>Complete</t>
        </is>
      </c>
      <c r="M73" t="inlineStr">
        <is>
          <t>Complete</t>
        </is>
      </c>
      <c r="N73" t="inlineStr">
        <is>
          <t>Missing</t>
        </is>
      </c>
      <c r="O73" s="2">
        <f>COUNTIF(J73:N73,"Complete")/5</f>
        <v/>
      </c>
      <c r="P73" t="inlineStr">
        <is>
          <t>Availability Issue</t>
        </is>
      </c>
      <c r="Q73" t="inlineStr">
        <is>
          <t>High</t>
        </is>
      </c>
    </row>
    <row r="74">
      <c r="A74" t="inlineStr">
        <is>
          <t>SKU073</t>
        </is>
      </c>
      <c r="B74" t="inlineStr">
        <is>
          <t>GlowLab Niacinamide Serum</t>
        </is>
      </c>
      <c r="C74" t="inlineStr">
        <is>
          <t>GlowLab</t>
        </is>
      </c>
      <c r="D74" t="inlineStr">
        <is>
          <t>Skincare</t>
        </is>
      </c>
      <c r="E74" t="n">
        <v>1199</v>
      </c>
      <c r="F74" t="n">
        <v>3.7</v>
      </c>
      <c r="G74" t="n">
        <v>3977</v>
      </c>
      <c r="H74" t="inlineStr">
        <is>
          <t>In Stock</t>
        </is>
      </c>
      <c r="I74" t="inlineStr">
        <is>
          <t>Suppressed</t>
        </is>
      </c>
      <c r="J74" t="inlineStr">
        <is>
          <t>Missing</t>
        </is>
      </c>
      <c r="K74" t="inlineStr">
        <is>
          <t>Complete</t>
        </is>
      </c>
      <c r="L74" t="inlineStr">
        <is>
          <t>Missing</t>
        </is>
      </c>
      <c r="M74" t="inlineStr">
        <is>
          <t>Complete</t>
        </is>
      </c>
      <c r="N74" t="inlineStr">
        <is>
          <t>Complete</t>
        </is>
      </c>
      <c r="O74" s="2">
        <f>COUNTIF(J74:N74,"Complete")/5</f>
        <v/>
      </c>
      <c r="P74" t="inlineStr">
        <is>
          <t>Listing Issue</t>
        </is>
      </c>
      <c r="Q74" t="inlineStr">
        <is>
          <t>High</t>
        </is>
      </c>
    </row>
    <row r="75">
      <c r="A75" t="inlineStr">
        <is>
          <t>SKU074</t>
        </is>
      </c>
      <c r="B75" t="inlineStr">
        <is>
          <t>DermaNest Niacinamide Serum</t>
        </is>
      </c>
      <c r="C75" t="inlineStr">
        <is>
          <t>DermaNest</t>
        </is>
      </c>
      <c r="D75" t="inlineStr">
        <is>
          <t>Skincare</t>
        </is>
      </c>
      <c r="E75" t="n">
        <v>549</v>
      </c>
      <c r="F75" t="n">
        <v>4.8</v>
      </c>
      <c r="G75" t="n">
        <v>4184</v>
      </c>
      <c r="H75" t="inlineStr">
        <is>
          <t>In Stock</t>
        </is>
      </c>
      <c r="I75" t="inlineStr">
        <is>
          <t>Live</t>
        </is>
      </c>
      <c r="J75" t="inlineStr">
        <is>
          <t>Complete</t>
        </is>
      </c>
      <c r="K75" t="inlineStr">
        <is>
          <t>Complete</t>
        </is>
      </c>
      <c r="L75" t="inlineStr">
        <is>
          <t>Complete</t>
        </is>
      </c>
      <c r="M75" t="inlineStr">
        <is>
          <t>Complete</t>
        </is>
      </c>
      <c r="N75" t="inlineStr">
        <is>
          <t>Complete</t>
        </is>
      </c>
      <c r="O75" s="2">
        <f>COUNTIF(J75:N75,"Complete")/5</f>
        <v/>
      </c>
      <c r="P75" t="inlineStr">
        <is>
          <t>No Issue</t>
        </is>
      </c>
      <c r="Q75" t="inlineStr">
        <is>
          <t>Low</t>
        </is>
      </c>
    </row>
    <row r="76">
      <c r="A76" t="inlineStr">
        <is>
          <t>SKU075</t>
        </is>
      </c>
      <c r="B76" t="inlineStr">
        <is>
          <t>GlowLab Lip Balm</t>
        </is>
      </c>
      <c r="C76" t="inlineStr">
        <is>
          <t>GlowLab</t>
        </is>
      </c>
      <c r="D76" t="inlineStr">
        <is>
          <t>Lip Care</t>
        </is>
      </c>
      <c r="E76" t="n">
        <v>699</v>
      </c>
      <c r="F76" t="n">
        <v>3.8</v>
      </c>
      <c r="G76" t="n">
        <v>4546</v>
      </c>
      <c r="H76" t="inlineStr">
        <is>
          <t>In Stock</t>
        </is>
      </c>
      <c r="I76" t="inlineStr">
        <is>
          <t>Live</t>
        </is>
      </c>
      <c r="J76" t="inlineStr">
        <is>
          <t>Missing</t>
        </is>
      </c>
      <c r="K76" t="inlineStr">
        <is>
          <t>Complete</t>
        </is>
      </c>
      <c r="L76" t="inlineStr">
        <is>
          <t>Missing</t>
        </is>
      </c>
      <c r="M76" t="inlineStr">
        <is>
          <t>Complete</t>
        </is>
      </c>
      <c r="N76" t="inlineStr">
        <is>
          <t>Complete</t>
        </is>
      </c>
      <c r="O76" s="2">
        <f>COUNTIF(J76:N76,"Complete")/5</f>
        <v/>
      </c>
      <c r="P76" t="inlineStr">
        <is>
          <t>Content Issue</t>
        </is>
      </c>
      <c r="Q76" t="inlineStr">
        <is>
          <t>Medium</t>
        </is>
      </c>
    </row>
    <row r="77">
      <c r="A77" t="inlineStr">
        <is>
          <t>SKU076</t>
        </is>
      </c>
      <c r="B77" t="inlineStr">
        <is>
          <t>DermaNest Body Wash</t>
        </is>
      </c>
      <c r="C77" t="inlineStr">
        <is>
          <t>DermaNest</t>
        </is>
      </c>
      <c r="D77" t="inlineStr">
        <is>
          <t>Body Care</t>
        </is>
      </c>
      <c r="E77" t="n">
        <v>299</v>
      </c>
      <c r="F77" t="n">
        <v>3.7</v>
      </c>
      <c r="G77" t="n">
        <v>3899</v>
      </c>
      <c r="H77" t="inlineStr">
        <is>
          <t>In Stock</t>
        </is>
      </c>
      <c r="I77" t="inlineStr">
        <is>
          <t>Live</t>
        </is>
      </c>
      <c r="J77" t="inlineStr">
        <is>
          <t>Complete</t>
        </is>
      </c>
      <c r="K77" t="inlineStr">
        <is>
          <t>Complete</t>
        </is>
      </c>
      <c r="L77" t="inlineStr">
        <is>
          <t>Complete</t>
        </is>
      </c>
      <c r="M77" t="inlineStr">
        <is>
          <t>Missing</t>
        </is>
      </c>
      <c r="N77" t="inlineStr">
        <is>
          <t>Complete</t>
        </is>
      </c>
      <c r="O77" s="2">
        <f>COUNTIF(J77:N77,"Complete")/5</f>
        <v/>
      </c>
      <c r="P77" t="inlineStr">
        <is>
          <t>Content Issue</t>
        </is>
      </c>
      <c r="Q77" t="inlineStr">
        <is>
          <t>Medium</t>
        </is>
      </c>
    </row>
    <row r="78">
      <c r="A78" t="inlineStr">
        <is>
          <t>SKU077</t>
        </is>
      </c>
      <c r="B78" t="inlineStr">
        <is>
          <t>SkinPure Face Wash</t>
        </is>
      </c>
      <c r="C78" t="inlineStr">
        <is>
          <t>SkinPure</t>
        </is>
      </c>
      <c r="D78" t="inlineStr">
        <is>
          <t>Skincare</t>
        </is>
      </c>
      <c r="E78" t="n">
        <v>799</v>
      </c>
      <c r="F78" t="n">
        <v>4.8</v>
      </c>
      <c r="G78" t="n">
        <v>2744</v>
      </c>
      <c r="H78" t="inlineStr">
        <is>
          <t>Out of Stock</t>
        </is>
      </c>
      <c r="I78" t="inlineStr">
        <is>
          <t>Inactive</t>
        </is>
      </c>
      <c r="J78" t="inlineStr">
        <is>
          <t>Complete</t>
        </is>
      </c>
      <c r="K78" t="inlineStr">
        <is>
          <t>Complete</t>
        </is>
      </c>
      <c r="L78" t="inlineStr">
        <is>
          <t>Complete</t>
        </is>
      </c>
      <c r="M78" t="inlineStr">
        <is>
          <t>Complete</t>
        </is>
      </c>
      <c r="N78" t="inlineStr">
        <is>
          <t>Complete</t>
        </is>
      </c>
      <c r="O78" s="2">
        <f>COUNTIF(J78:N78,"Complete")/5</f>
        <v/>
      </c>
      <c r="P78" t="inlineStr">
        <is>
          <t>Listing Issue</t>
        </is>
      </c>
      <c r="Q78" t="inlineStr">
        <is>
          <t>High</t>
        </is>
      </c>
    </row>
    <row r="79">
      <c r="A79" t="inlineStr">
        <is>
          <t>SKU078</t>
        </is>
      </c>
      <c r="B79" t="inlineStr">
        <is>
          <t>DermaGlow Vitamin C Serum</t>
        </is>
      </c>
      <c r="C79" t="inlineStr">
        <is>
          <t>DermaGlow</t>
        </is>
      </c>
      <c r="D79" t="inlineStr">
        <is>
          <t>Skincare</t>
        </is>
      </c>
      <c r="E79" t="n">
        <v>699</v>
      </c>
      <c r="F79" t="n">
        <v>4.5</v>
      </c>
      <c r="G79" t="n">
        <v>2196</v>
      </c>
      <c r="H79" t="inlineStr">
        <is>
          <t>In Stock</t>
        </is>
      </c>
      <c r="I79" t="inlineStr">
        <is>
          <t>Live</t>
        </is>
      </c>
      <c r="J79" t="inlineStr">
        <is>
          <t>Complete</t>
        </is>
      </c>
      <c r="K79" t="inlineStr">
        <is>
          <t>Complete</t>
        </is>
      </c>
      <c r="L79" t="inlineStr">
        <is>
          <t>Complete</t>
        </is>
      </c>
      <c r="M79" t="inlineStr">
        <is>
          <t>Complete</t>
        </is>
      </c>
      <c r="N79" t="inlineStr">
        <is>
          <t>Complete</t>
        </is>
      </c>
      <c r="O79" s="2">
        <f>COUNTIF(J79:N79,"Complete")/5</f>
        <v/>
      </c>
      <c r="P79" t="inlineStr">
        <is>
          <t>No Issue</t>
        </is>
      </c>
      <c r="Q79" t="inlineStr">
        <is>
          <t>Low</t>
        </is>
      </c>
    </row>
    <row r="80">
      <c r="A80" t="inlineStr">
        <is>
          <t>SKU079</t>
        </is>
      </c>
      <c r="B80" t="inlineStr">
        <is>
          <t>DermaNest Cleanser</t>
        </is>
      </c>
      <c r="C80" t="inlineStr">
        <is>
          <t>DermaNest</t>
        </is>
      </c>
      <c r="D80" t="inlineStr">
        <is>
          <t>Skincare</t>
        </is>
      </c>
      <c r="E80" t="n">
        <v>799</v>
      </c>
      <c r="F80" t="n">
        <v>3.3</v>
      </c>
      <c r="G80" t="n">
        <v>585</v>
      </c>
      <c r="H80" t="inlineStr">
        <is>
          <t>In Stock</t>
        </is>
      </c>
      <c r="I80" t="inlineStr">
        <is>
          <t>Live</t>
        </is>
      </c>
      <c r="J80" t="inlineStr">
        <is>
          <t>Complete</t>
        </is>
      </c>
      <c r="K80" t="inlineStr">
        <is>
          <t>Complete</t>
        </is>
      </c>
      <c r="L80" t="inlineStr">
        <is>
          <t>Complete</t>
        </is>
      </c>
      <c r="M80" t="inlineStr">
        <is>
          <t>Missing</t>
        </is>
      </c>
      <c r="N80" t="inlineStr">
        <is>
          <t>Complete</t>
        </is>
      </c>
      <c r="O80" s="2">
        <f>COUNTIF(J80:N80,"Complete")/5</f>
        <v/>
      </c>
      <c r="P80" t="inlineStr">
        <is>
          <t>Content Issue</t>
        </is>
      </c>
      <c r="Q80" t="inlineStr">
        <is>
          <t>Medium</t>
        </is>
      </c>
    </row>
    <row r="81">
      <c r="A81" t="inlineStr">
        <is>
          <t>SKU080</t>
        </is>
      </c>
      <c r="B81" t="inlineStr">
        <is>
          <t>DermaGlow Shampoo</t>
        </is>
      </c>
      <c r="C81" t="inlineStr">
        <is>
          <t>DermaGlow</t>
        </is>
      </c>
      <c r="D81" t="inlineStr">
        <is>
          <t>Hair Care</t>
        </is>
      </c>
      <c r="E81" t="n">
        <v>699</v>
      </c>
      <c r="F81" t="n">
        <v>3.5</v>
      </c>
      <c r="G81" t="n">
        <v>2478</v>
      </c>
      <c r="H81" t="inlineStr">
        <is>
          <t>In Stock</t>
        </is>
      </c>
      <c r="I81" t="inlineStr">
        <is>
          <t>Suppressed</t>
        </is>
      </c>
      <c r="J81" t="inlineStr">
        <is>
          <t>Complete</t>
        </is>
      </c>
      <c r="K81" t="inlineStr">
        <is>
          <t>Complete</t>
        </is>
      </c>
      <c r="L81" t="inlineStr">
        <is>
          <t>Complete</t>
        </is>
      </c>
      <c r="M81" t="inlineStr">
        <is>
          <t>Complete</t>
        </is>
      </c>
      <c r="N81" t="inlineStr">
        <is>
          <t>Missing</t>
        </is>
      </c>
      <c r="O81" s="2">
        <f>COUNTIF(J81:N81,"Complete")/5</f>
        <v/>
      </c>
      <c r="P81" t="inlineStr">
        <is>
          <t>Listing Issue</t>
        </is>
      </c>
      <c r="Q81" t="inlineStr">
        <is>
          <t>High</t>
        </is>
      </c>
    </row>
    <row r="82">
      <c r="A82" t="inlineStr">
        <is>
          <t>SKU081</t>
        </is>
      </c>
      <c r="B82" t="inlineStr">
        <is>
          <t>SkinPure Hair Serum</t>
        </is>
      </c>
      <c r="C82" t="inlineStr">
        <is>
          <t>SkinPure</t>
        </is>
      </c>
      <c r="D82" t="inlineStr">
        <is>
          <t>Hair Care</t>
        </is>
      </c>
      <c r="E82" t="n">
        <v>399</v>
      </c>
      <c r="F82" t="n">
        <v>3.5</v>
      </c>
      <c r="G82" t="n">
        <v>3158</v>
      </c>
      <c r="H82" t="inlineStr">
        <is>
          <t>In Stock</t>
        </is>
      </c>
      <c r="I82" t="inlineStr">
        <is>
          <t>Live</t>
        </is>
      </c>
      <c r="J82" t="inlineStr">
        <is>
          <t>Missing</t>
        </is>
      </c>
      <c r="K82" t="inlineStr">
        <is>
          <t>Complete</t>
        </is>
      </c>
      <c r="L82" t="inlineStr">
        <is>
          <t>Complete</t>
        </is>
      </c>
      <c r="M82" t="inlineStr">
        <is>
          <t>Complete</t>
        </is>
      </c>
      <c r="N82" t="inlineStr">
        <is>
          <t>Complete</t>
        </is>
      </c>
      <c r="O82" s="2">
        <f>COUNTIF(J82:N82,"Complete")/5</f>
        <v/>
      </c>
      <c r="P82" t="inlineStr">
        <is>
          <t>Content Issue</t>
        </is>
      </c>
      <c r="Q82" t="inlineStr">
        <is>
          <t>Medium</t>
        </is>
      </c>
    </row>
    <row r="83">
      <c r="A83" t="inlineStr">
        <is>
          <t>SKU082</t>
        </is>
      </c>
      <c r="B83" t="inlineStr">
        <is>
          <t>DermaNest Face Wash</t>
        </is>
      </c>
      <c r="C83" t="inlineStr">
        <is>
          <t>DermaNest</t>
        </is>
      </c>
      <c r="D83" t="inlineStr">
        <is>
          <t>Skincare</t>
        </is>
      </c>
      <c r="E83" t="n">
        <v>499</v>
      </c>
      <c r="F83" t="n">
        <v>4.4</v>
      </c>
      <c r="G83" t="n">
        <v>1319</v>
      </c>
      <c r="H83" t="inlineStr">
        <is>
          <t>Out of Stock</t>
        </is>
      </c>
      <c r="I83" t="inlineStr">
        <is>
          <t>Live</t>
        </is>
      </c>
      <c r="J83" t="inlineStr">
        <is>
          <t>Missing</t>
        </is>
      </c>
      <c r="K83" t="inlineStr">
        <is>
          <t>Complete</t>
        </is>
      </c>
      <c r="L83" t="inlineStr">
        <is>
          <t>Missing</t>
        </is>
      </c>
      <c r="M83" t="inlineStr">
        <is>
          <t>Complete</t>
        </is>
      </c>
      <c r="N83" t="inlineStr">
        <is>
          <t>Complete</t>
        </is>
      </c>
      <c r="O83" s="2">
        <f>COUNTIF(J83:N83,"Complete")/5</f>
        <v/>
      </c>
      <c r="P83" t="inlineStr">
        <is>
          <t>Availability Issue</t>
        </is>
      </c>
      <c r="Q83" t="inlineStr">
        <is>
          <t>High</t>
        </is>
      </c>
    </row>
    <row r="84">
      <c r="A84" t="inlineStr">
        <is>
          <t>SKU083</t>
        </is>
      </c>
      <c r="B84" t="inlineStr">
        <is>
          <t>SkinPure Niacinamide Serum</t>
        </is>
      </c>
      <c r="C84" t="inlineStr">
        <is>
          <t>SkinPure</t>
        </is>
      </c>
      <c r="D84" t="inlineStr">
        <is>
          <t>Skincare</t>
        </is>
      </c>
      <c r="E84" t="n">
        <v>599</v>
      </c>
      <c r="F84" t="n">
        <v>4.7</v>
      </c>
      <c r="G84" t="n">
        <v>898</v>
      </c>
      <c r="H84" t="inlineStr">
        <is>
          <t>In Stock</t>
        </is>
      </c>
      <c r="I84" t="inlineStr">
        <is>
          <t>Live</t>
        </is>
      </c>
      <c r="J84" t="inlineStr">
        <is>
          <t>Complete</t>
        </is>
      </c>
      <c r="K84" t="inlineStr">
        <is>
          <t>Missing</t>
        </is>
      </c>
      <c r="L84" t="inlineStr">
        <is>
          <t>Complete</t>
        </is>
      </c>
      <c r="M84" t="inlineStr">
        <is>
          <t>Missing</t>
        </is>
      </c>
      <c r="N84" t="inlineStr">
        <is>
          <t>Complete</t>
        </is>
      </c>
      <c r="O84" s="2">
        <f>COUNTIF(J84:N84,"Complete")/5</f>
        <v/>
      </c>
      <c r="P84" t="inlineStr">
        <is>
          <t>Content Issue</t>
        </is>
      </c>
      <c r="Q84" t="inlineStr">
        <is>
          <t>Medium</t>
        </is>
      </c>
    </row>
    <row r="85">
      <c r="A85" t="inlineStr">
        <is>
          <t>SKU084</t>
        </is>
      </c>
      <c r="B85" t="inlineStr">
        <is>
          <t>DermaGlow Niacinamide Serum</t>
        </is>
      </c>
      <c r="C85" t="inlineStr">
        <is>
          <t>DermaGlow</t>
        </is>
      </c>
      <c r="D85" t="inlineStr">
        <is>
          <t>Skincare</t>
        </is>
      </c>
      <c r="E85" t="n">
        <v>899</v>
      </c>
      <c r="F85" t="n">
        <v>4.7</v>
      </c>
      <c r="G85" t="n">
        <v>426</v>
      </c>
      <c r="H85" t="inlineStr">
        <is>
          <t>In Stock</t>
        </is>
      </c>
      <c r="I85" t="inlineStr">
        <is>
          <t>Suppressed</t>
        </is>
      </c>
      <c r="J85" t="inlineStr">
        <is>
          <t>Complete</t>
        </is>
      </c>
      <c r="K85" t="inlineStr">
        <is>
          <t>Missing</t>
        </is>
      </c>
      <c r="L85" t="inlineStr">
        <is>
          <t>Complete</t>
        </is>
      </c>
      <c r="M85" t="inlineStr">
        <is>
          <t>Complete</t>
        </is>
      </c>
      <c r="N85" t="inlineStr">
        <is>
          <t>Complete</t>
        </is>
      </c>
      <c r="O85" s="2">
        <f>COUNTIF(J85:N85,"Complete")/5</f>
        <v/>
      </c>
      <c r="P85" t="inlineStr">
        <is>
          <t>Listing Issue</t>
        </is>
      </c>
      <c r="Q85" t="inlineStr">
        <is>
          <t>High</t>
        </is>
      </c>
    </row>
    <row r="86">
      <c r="A86" t="inlineStr">
        <is>
          <t>SKU085</t>
        </is>
      </c>
      <c r="B86" t="inlineStr">
        <is>
          <t>SkinPure Hair Serum</t>
        </is>
      </c>
      <c r="C86" t="inlineStr">
        <is>
          <t>SkinPure</t>
        </is>
      </c>
      <c r="D86" t="inlineStr">
        <is>
          <t>Hair Care</t>
        </is>
      </c>
      <c r="E86" t="n">
        <v>899</v>
      </c>
      <c r="F86" t="n">
        <v>3.6</v>
      </c>
      <c r="G86" t="n">
        <v>1145</v>
      </c>
      <c r="H86" t="inlineStr">
        <is>
          <t>Out of Stock</t>
        </is>
      </c>
      <c r="I86" t="inlineStr">
        <is>
          <t>Live</t>
        </is>
      </c>
      <c r="J86" t="inlineStr">
        <is>
          <t>Complete</t>
        </is>
      </c>
      <c r="K86" t="inlineStr">
        <is>
          <t>Complete</t>
        </is>
      </c>
      <c r="L86" t="inlineStr">
        <is>
          <t>Complete</t>
        </is>
      </c>
      <c r="M86" t="inlineStr">
        <is>
          <t>Complete</t>
        </is>
      </c>
      <c r="N86" t="inlineStr">
        <is>
          <t>Complete</t>
        </is>
      </c>
      <c r="O86" s="2">
        <f>COUNTIF(J86:N86,"Complete")/5</f>
        <v/>
      </c>
      <c r="P86" t="inlineStr">
        <is>
          <t>Availability Issue</t>
        </is>
      </c>
      <c r="Q86" t="inlineStr">
        <is>
          <t>High</t>
        </is>
      </c>
    </row>
    <row r="87">
      <c r="A87" t="inlineStr">
        <is>
          <t>SKU086</t>
        </is>
      </c>
      <c r="B87" t="inlineStr">
        <is>
          <t>Aurelia Care Sunscreen</t>
        </is>
      </c>
      <c r="C87" t="inlineStr">
        <is>
          <t>Aurelia Care</t>
        </is>
      </c>
      <c r="D87" t="inlineStr">
        <is>
          <t>Skincare</t>
        </is>
      </c>
      <c r="E87" t="n">
        <v>549</v>
      </c>
      <c r="F87" t="n">
        <v>4.5</v>
      </c>
      <c r="G87" t="n">
        <v>1463</v>
      </c>
      <c r="H87" t="inlineStr">
        <is>
          <t>In Stock</t>
        </is>
      </c>
      <c r="I87" t="inlineStr">
        <is>
          <t>Live</t>
        </is>
      </c>
      <c r="J87" t="inlineStr">
        <is>
          <t>Complete</t>
        </is>
      </c>
      <c r="K87" t="inlineStr">
        <is>
          <t>Complete</t>
        </is>
      </c>
      <c r="L87" t="inlineStr">
        <is>
          <t>Complete</t>
        </is>
      </c>
      <c r="M87" t="inlineStr">
        <is>
          <t>Complete</t>
        </is>
      </c>
      <c r="N87" t="inlineStr">
        <is>
          <t>Complete</t>
        </is>
      </c>
      <c r="O87" s="2">
        <f>COUNTIF(J87:N87,"Complete")/5</f>
        <v/>
      </c>
      <c r="P87" t="inlineStr">
        <is>
          <t>No Issue</t>
        </is>
      </c>
      <c r="Q87" t="inlineStr">
        <is>
          <t>Low</t>
        </is>
      </c>
    </row>
    <row r="88">
      <c r="A88" t="inlineStr">
        <is>
          <t>SKU087</t>
        </is>
      </c>
      <c r="B88" t="inlineStr">
        <is>
          <t>DermaNest Hand Cream</t>
        </is>
      </c>
      <c r="C88" t="inlineStr">
        <is>
          <t>DermaNest</t>
        </is>
      </c>
      <c r="D88" t="inlineStr">
        <is>
          <t>Body Care</t>
        </is>
      </c>
      <c r="E88" t="n">
        <v>499</v>
      </c>
      <c r="F88" t="n">
        <v>4.5</v>
      </c>
      <c r="G88" t="n">
        <v>2799</v>
      </c>
      <c r="H88" t="inlineStr">
        <is>
          <t>Out of Stock</t>
        </is>
      </c>
      <c r="I88" t="inlineStr">
        <is>
          <t>Inactive</t>
        </is>
      </c>
      <c r="J88" t="inlineStr">
        <is>
          <t>Complete</t>
        </is>
      </c>
      <c r="K88" t="inlineStr">
        <is>
          <t>Complete</t>
        </is>
      </c>
      <c r="L88" t="inlineStr">
        <is>
          <t>Complete</t>
        </is>
      </c>
      <c r="M88" t="inlineStr">
        <is>
          <t>Complete</t>
        </is>
      </c>
      <c r="N88" t="inlineStr">
        <is>
          <t>Complete</t>
        </is>
      </c>
      <c r="O88" s="2">
        <f>COUNTIF(J88:N88,"Complete")/5</f>
        <v/>
      </c>
      <c r="P88" t="inlineStr">
        <is>
          <t>Listing Issue</t>
        </is>
      </c>
      <c r="Q88" t="inlineStr">
        <is>
          <t>High</t>
        </is>
      </c>
    </row>
    <row r="89">
      <c r="A89" t="inlineStr">
        <is>
          <t>SKU088</t>
        </is>
      </c>
      <c r="B89" t="inlineStr">
        <is>
          <t>GlowLab Body Wash</t>
        </is>
      </c>
      <c r="C89" t="inlineStr">
        <is>
          <t>GlowLab</t>
        </is>
      </c>
      <c r="D89" t="inlineStr">
        <is>
          <t>Body Care</t>
        </is>
      </c>
      <c r="E89" t="n">
        <v>549</v>
      </c>
      <c r="F89" t="n">
        <v>3.4</v>
      </c>
      <c r="G89" t="n">
        <v>3257</v>
      </c>
      <c r="H89" t="inlineStr">
        <is>
          <t>In Stock</t>
        </is>
      </c>
      <c r="I89" t="inlineStr">
        <is>
          <t>Live</t>
        </is>
      </c>
      <c r="J89" t="inlineStr">
        <is>
          <t>Complete</t>
        </is>
      </c>
      <c r="K89" t="inlineStr">
        <is>
          <t>Complete</t>
        </is>
      </c>
      <c r="L89" t="inlineStr">
        <is>
          <t>Complete</t>
        </is>
      </c>
      <c r="M89" t="inlineStr">
        <is>
          <t>Complete</t>
        </is>
      </c>
      <c r="N89" t="inlineStr">
        <is>
          <t>Complete</t>
        </is>
      </c>
      <c r="O89" s="2">
        <f>COUNTIF(J89:N89,"Complete")/5</f>
        <v/>
      </c>
      <c r="P89" t="inlineStr">
        <is>
          <t>Rating Issue</t>
        </is>
      </c>
      <c r="Q89" t="inlineStr">
        <is>
          <t>Medium</t>
        </is>
      </c>
    </row>
    <row r="90">
      <c r="A90" t="inlineStr">
        <is>
          <t>SKU089</t>
        </is>
      </c>
      <c r="B90" t="inlineStr">
        <is>
          <t>DermaGlow Cleanser</t>
        </is>
      </c>
      <c r="C90" t="inlineStr">
        <is>
          <t>DermaGlow</t>
        </is>
      </c>
      <c r="D90" t="inlineStr">
        <is>
          <t>Skincare</t>
        </is>
      </c>
      <c r="E90" t="n">
        <v>999</v>
      </c>
      <c r="F90" t="n">
        <v>3.6</v>
      </c>
      <c r="G90" t="n">
        <v>230</v>
      </c>
      <c r="H90" t="inlineStr">
        <is>
          <t>Out of Stock</t>
        </is>
      </c>
      <c r="I90" t="inlineStr">
        <is>
          <t>Live</t>
        </is>
      </c>
      <c r="J90" t="inlineStr">
        <is>
          <t>Complete</t>
        </is>
      </c>
      <c r="K90" t="inlineStr">
        <is>
          <t>Complete</t>
        </is>
      </c>
      <c r="L90" t="inlineStr">
        <is>
          <t>Complete</t>
        </is>
      </c>
      <c r="M90" t="inlineStr">
        <is>
          <t>Complete</t>
        </is>
      </c>
      <c r="N90" t="inlineStr">
        <is>
          <t>Complete</t>
        </is>
      </c>
      <c r="O90" s="2">
        <f>COUNTIF(J90:N90,"Complete")/5</f>
        <v/>
      </c>
      <c r="P90" t="inlineStr">
        <is>
          <t>Availability Issue</t>
        </is>
      </c>
      <c r="Q90" t="inlineStr">
        <is>
          <t>High</t>
        </is>
      </c>
    </row>
    <row r="91">
      <c r="A91" t="inlineStr">
        <is>
          <t>SKU090</t>
        </is>
      </c>
      <c r="B91" t="inlineStr">
        <is>
          <t>Aurelia Care Shampoo</t>
        </is>
      </c>
      <c r="C91" t="inlineStr">
        <is>
          <t>Aurelia Care</t>
        </is>
      </c>
      <c r="D91" t="inlineStr">
        <is>
          <t>Hair Care</t>
        </is>
      </c>
      <c r="E91" t="n">
        <v>999</v>
      </c>
      <c r="F91" t="n">
        <v>3.9</v>
      </c>
      <c r="G91" t="n">
        <v>1170</v>
      </c>
      <c r="H91" t="inlineStr">
        <is>
          <t>In Stock</t>
        </is>
      </c>
      <c r="I91" t="inlineStr">
        <is>
          <t>Live</t>
        </is>
      </c>
      <c r="J91" t="inlineStr">
        <is>
          <t>Missing</t>
        </is>
      </c>
      <c r="K91" t="inlineStr">
        <is>
          <t>Complete</t>
        </is>
      </c>
      <c r="L91" t="inlineStr">
        <is>
          <t>Complete</t>
        </is>
      </c>
      <c r="M91" t="inlineStr">
        <is>
          <t>Complete</t>
        </is>
      </c>
      <c r="N91" t="inlineStr">
        <is>
          <t>Complete</t>
        </is>
      </c>
      <c r="O91" s="2">
        <f>COUNTIF(J91:N91,"Complete")/5</f>
        <v/>
      </c>
      <c r="P91" t="inlineStr">
        <is>
          <t>Content Issue</t>
        </is>
      </c>
      <c r="Q91" t="inlineStr">
        <is>
          <t>Medium</t>
        </is>
      </c>
    </row>
    <row r="92">
      <c r="A92" t="inlineStr">
        <is>
          <t>SKU091</t>
        </is>
      </c>
      <c r="B92" t="inlineStr">
        <is>
          <t>GlowLab Cleanser</t>
        </is>
      </c>
      <c r="C92" t="inlineStr">
        <is>
          <t>GlowLab</t>
        </is>
      </c>
      <c r="D92" t="inlineStr">
        <is>
          <t>Skincare</t>
        </is>
      </c>
      <c r="E92" t="n">
        <v>599</v>
      </c>
      <c r="F92" t="n">
        <v>4.2</v>
      </c>
      <c r="G92" t="n">
        <v>1290</v>
      </c>
      <c r="H92" t="inlineStr">
        <is>
          <t>Out of Stock</t>
        </is>
      </c>
      <c r="I92" t="inlineStr">
        <is>
          <t>Inactive</t>
        </is>
      </c>
      <c r="J92" t="inlineStr">
        <is>
          <t>Complete</t>
        </is>
      </c>
      <c r="K92" t="inlineStr">
        <is>
          <t>Complete</t>
        </is>
      </c>
      <c r="L92" t="inlineStr">
        <is>
          <t>Missing</t>
        </is>
      </c>
      <c r="M92" t="inlineStr">
        <is>
          <t>Complete</t>
        </is>
      </c>
      <c r="N92" t="inlineStr">
        <is>
          <t>Complete</t>
        </is>
      </c>
      <c r="O92" s="2">
        <f>COUNTIF(J92:N92,"Complete")/5</f>
        <v/>
      </c>
      <c r="P92" t="inlineStr">
        <is>
          <t>Listing Issue</t>
        </is>
      </c>
      <c r="Q92" t="inlineStr">
        <is>
          <t>High</t>
        </is>
      </c>
    </row>
    <row r="93">
      <c r="A93" t="inlineStr">
        <is>
          <t>SKU092</t>
        </is>
      </c>
      <c r="B93" t="inlineStr">
        <is>
          <t>SkinPure Lip Balm</t>
        </is>
      </c>
      <c r="C93" t="inlineStr">
        <is>
          <t>SkinPure</t>
        </is>
      </c>
      <c r="D93" t="inlineStr">
        <is>
          <t>Lip Care</t>
        </is>
      </c>
      <c r="E93" t="n">
        <v>549</v>
      </c>
      <c r="F93" t="n">
        <v>3.4</v>
      </c>
      <c r="G93" t="n">
        <v>3034</v>
      </c>
      <c r="H93" t="inlineStr">
        <is>
          <t>Out of Stock</t>
        </is>
      </c>
      <c r="I93" t="inlineStr">
        <is>
          <t>Live</t>
        </is>
      </c>
      <c r="J93" t="inlineStr">
        <is>
          <t>Complete</t>
        </is>
      </c>
      <c r="K93" t="inlineStr">
        <is>
          <t>Complete</t>
        </is>
      </c>
      <c r="L93" t="inlineStr">
        <is>
          <t>Complete</t>
        </is>
      </c>
      <c r="M93" t="inlineStr">
        <is>
          <t>Complete</t>
        </is>
      </c>
      <c r="N93" t="inlineStr">
        <is>
          <t>Complete</t>
        </is>
      </c>
      <c r="O93" s="2">
        <f>COUNTIF(J93:N93,"Complete")/5</f>
        <v/>
      </c>
      <c r="P93" t="inlineStr">
        <is>
          <t>Availability Issue</t>
        </is>
      </c>
      <c r="Q93" t="inlineStr">
        <is>
          <t>High</t>
        </is>
      </c>
    </row>
    <row r="94">
      <c r="A94" t="inlineStr">
        <is>
          <t>SKU093</t>
        </is>
      </c>
      <c r="B94" t="inlineStr">
        <is>
          <t>DermaGlow Lip Balm</t>
        </is>
      </c>
      <c r="C94" t="inlineStr">
        <is>
          <t>DermaGlow</t>
        </is>
      </c>
      <c r="D94" t="inlineStr">
        <is>
          <t>Lip Care</t>
        </is>
      </c>
      <c r="E94" t="n">
        <v>999</v>
      </c>
      <c r="F94" t="n">
        <v>3.6</v>
      </c>
      <c r="G94" t="n">
        <v>199</v>
      </c>
      <c r="H94" t="inlineStr">
        <is>
          <t>In Stock</t>
        </is>
      </c>
      <c r="I94" t="inlineStr">
        <is>
          <t>Live</t>
        </is>
      </c>
      <c r="J94" t="inlineStr">
        <is>
          <t>Missing</t>
        </is>
      </c>
      <c r="K94" t="inlineStr">
        <is>
          <t>Complete</t>
        </is>
      </c>
      <c r="L94" t="inlineStr">
        <is>
          <t>Complete</t>
        </is>
      </c>
      <c r="M94" t="inlineStr">
        <is>
          <t>Complete</t>
        </is>
      </c>
      <c r="N94" t="inlineStr">
        <is>
          <t>Complete</t>
        </is>
      </c>
      <c r="O94" s="2">
        <f>COUNTIF(J94:N94,"Complete")/5</f>
        <v/>
      </c>
      <c r="P94" t="inlineStr">
        <is>
          <t>Content Issue</t>
        </is>
      </c>
      <c r="Q94" t="inlineStr">
        <is>
          <t>Medium</t>
        </is>
      </c>
    </row>
    <row r="95">
      <c r="A95" t="inlineStr">
        <is>
          <t>SKU094</t>
        </is>
      </c>
      <c r="B95" t="inlineStr">
        <is>
          <t>SkinPure Eye Cream</t>
        </is>
      </c>
      <c r="C95" t="inlineStr">
        <is>
          <t>SkinPure</t>
        </is>
      </c>
      <c r="D95" t="inlineStr">
        <is>
          <t>Skincare</t>
        </is>
      </c>
      <c r="E95" t="n">
        <v>449</v>
      </c>
      <c r="F95" t="n">
        <v>3.8</v>
      </c>
      <c r="G95" t="n">
        <v>1233</v>
      </c>
      <c r="H95" t="inlineStr">
        <is>
          <t>Out of Stock</t>
        </is>
      </c>
      <c r="I95" t="inlineStr">
        <is>
          <t>Inactive</t>
        </is>
      </c>
      <c r="J95" t="inlineStr">
        <is>
          <t>Complete</t>
        </is>
      </c>
      <c r="K95" t="inlineStr">
        <is>
          <t>Missing</t>
        </is>
      </c>
      <c r="L95" t="inlineStr">
        <is>
          <t>Missing</t>
        </is>
      </c>
      <c r="M95" t="inlineStr">
        <is>
          <t>Complete</t>
        </is>
      </c>
      <c r="N95" t="inlineStr">
        <is>
          <t>Complete</t>
        </is>
      </c>
      <c r="O95" s="2">
        <f>COUNTIF(J95:N95,"Complete")/5</f>
        <v/>
      </c>
      <c r="P95" t="inlineStr">
        <is>
          <t>Listing Issue</t>
        </is>
      </c>
      <c r="Q95" t="inlineStr">
        <is>
          <t>High</t>
        </is>
      </c>
    </row>
    <row r="96">
      <c r="A96" t="inlineStr">
        <is>
          <t>SKU095</t>
        </is>
      </c>
      <c r="B96" t="inlineStr">
        <is>
          <t>DermaGlow Body Wash</t>
        </is>
      </c>
      <c r="C96" t="inlineStr">
        <is>
          <t>DermaGlow</t>
        </is>
      </c>
      <c r="D96" t="inlineStr">
        <is>
          <t>Body Care</t>
        </is>
      </c>
      <c r="E96" t="n">
        <v>399</v>
      </c>
      <c r="F96" t="n">
        <v>3.2</v>
      </c>
      <c r="G96" t="n">
        <v>1974</v>
      </c>
      <c r="H96" t="inlineStr">
        <is>
          <t>In Stock</t>
        </is>
      </c>
      <c r="I96" t="inlineStr">
        <is>
          <t>Live</t>
        </is>
      </c>
      <c r="J96" t="inlineStr">
        <is>
          <t>Complete</t>
        </is>
      </c>
      <c r="K96" t="inlineStr">
        <is>
          <t>Complete</t>
        </is>
      </c>
      <c r="L96" t="inlineStr">
        <is>
          <t>Complete</t>
        </is>
      </c>
      <c r="M96" t="inlineStr">
        <is>
          <t>Complete</t>
        </is>
      </c>
      <c r="N96" t="inlineStr">
        <is>
          <t>Complete</t>
        </is>
      </c>
      <c r="O96" s="2">
        <f>COUNTIF(J96:N96,"Complete")/5</f>
        <v/>
      </c>
      <c r="P96" t="inlineStr">
        <is>
          <t>Rating Issue</t>
        </is>
      </c>
      <c r="Q96" t="inlineStr">
        <is>
          <t>Medium</t>
        </is>
      </c>
    </row>
    <row r="97">
      <c r="A97" t="inlineStr">
        <is>
          <t>SKU096</t>
        </is>
      </c>
      <c r="B97" t="inlineStr">
        <is>
          <t>Aurelia Care Lip Balm</t>
        </is>
      </c>
      <c r="C97" t="inlineStr">
        <is>
          <t>Aurelia Care</t>
        </is>
      </c>
      <c r="D97" t="inlineStr">
        <is>
          <t>Lip Care</t>
        </is>
      </c>
      <c r="E97" t="n">
        <v>799</v>
      </c>
      <c r="F97" t="n">
        <v>4.2</v>
      </c>
      <c r="G97" t="n">
        <v>3727</v>
      </c>
      <c r="H97" t="inlineStr">
        <is>
          <t>Out of Stock</t>
        </is>
      </c>
      <c r="I97" t="inlineStr">
        <is>
          <t>Live</t>
        </is>
      </c>
      <c r="J97" t="inlineStr">
        <is>
          <t>Complete</t>
        </is>
      </c>
      <c r="K97" t="inlineStr">
        <is>
          <t>Complete</t>
        </is>
      </c>
      <c r="L97" t="inlineStr">
        <is>
          <t>Complete</t>
        </is>
      </c>
      <c r="M97" t="inlineStr">
        <is>
          <t>Complete</t>
        </is>
      </c>
      <c r="N97" t="inlineStr">
        <is>
          <t>Complete</t>
        </is>
      </c>
      <c r="O97" s="2">
        <f>COUNTIF(J97:N97,"Complete")/5</f>
        <v/>
      </c>
      <c r="P97" t="inlineStr">
        <is>
          <t>Availability Issue</t>
        </is>
      </c>
      <c r="Q97" t="inlineStr">
        <is>
          <t>High</t>
        </is>
      </c>
    </row>
    <row r="98">
      <c r="A98" t="inlineStr">
        <is>
          <t>SKU097</t>
        </is>
      </c>
      <c r="B98" t="inlineStr">
        <is>
          <t>DermaGlow Face Wash</t>
        </is>
      </c>
      <c r="C98" t="inlineStr">
        <is>
          <t>DermaGlow</t>
        </is>
      </c>
      <c r="D98" t="inlineStr">
        <is>
          <t>Skincare</t>
        </is>
      </c>
      <c r="E98" t="n">
        <v>699</v>
      </c>
      <c r="F98" t="n">
        <v>4.6</v>
      </c>
      <c r="G98" t="n">
        <v>3517</v>
      </c>
      <c r="H98" t="inlineStr">
        <is>
          <t>In Stock</t>
        </is>
      </c>
      <c r="I98" t="inlineStr">
        <is>
          <t>Live</t>
        </is>
      </c>
      <c r="J98" t="inlineStr">
        <is>
          <t>Missing</t>
        </is>
      </c>
      <c r="K98" t="inlineStr">
        <is>
          <t>Complete</t>
        </is>
      </c>
      <c r="L98" t="inlineStr">
        <is>
          <t>Complete</t>
        </is>
      </c>
      <c r="M98" t="inlineStr">
        <is>
          <t>Complete</t>
        </is>
      </c>
      <c r="N98" t="inlineStr">
        <is>
          <t>Complete</t>
        </is>
      </c>
      <c r="O98" s="2">
        <f>COUNTIF(J98:N98,"Complete")/5</f>
        <v/>
      </c>
      <c r="P98" t="inlineStr">
        <is>
          <t>Content Issue</t>
        </is>
      </c>
      <c r="Q98" t="inlineStr">
        <is>
          <t>Medium</t>
        </is>
      </c>
    </row>
    <row r="99">
      <c r="A99" t="inlineStr">
        <is>
          <t>SKU098</t>
        </is>
      </c>
      <c r="B99" t="inlineStr">
        <is>
          <t>GlowLab Niacinamide Serum</t>
        </is>
      </c>
      <c r="C99" t="inlineStr">
        <is>
          <t>GlowLab</t>
        </is>
      </c>
      <c r="D99" t="inlineStr">
        <is>
          <t>Skincare</t>
        </is>
      </c>
      <c r="E99" t="n">
        <v>999</v>
      </c>
      <c r="F99" t="n">
        <v>4.2</v>
      </c>
      <c r="G99" t="n">
        <v>2688</v>
      </c>
      <c r="H99" t="inlineStr">
        <is>
          <t>In Stock</t>
        </is>
      </c>
      <c r="I99" t="inlineStr">
        <is>
          <t>Live</t>
        </is>
      </c>
      <c r="J99" t="inlineStr">
        <is>
          <t>Complete</t>
        </is>
      </c>
      <c r="K99" t="inlineStr">
        <is>
          <t>Complete</t>
        </is>
      </c>
      <c r="L99" t="inlineStr">
        <is>
          <t>Complete</t>
        </is>
      </c>
      <c r="M99" t="inlineStr">
        <is>
          <t>Complete</t>
        </is>
      </c>
      <c r="N99" t="inlineStr">
        <is>
          <t>Complete</t>
        </is>
      </c>
      <c r="O99" s="2">
        <f>COUNTIF(J99:N99,"Complete")/5</f>
        <v/>
      </c>
      <c r="P99" t="inlineStr">
        <is>
          <t>No Issue</t>
        </is>
      </c>
      <c r="Q99" t="inlineStr">
        <is>
          <t>Low</t>
        </is>
      </c>
    </row>
    <row r="100">
      <c r="A100" t="inlineStr">
        <is>
          <t>SKU099</t>
        </is>
      </c>
      <c r="B100" t="inlineStr">
        <is>
          <t>GlowLab Hair Serum</t>
        </is>
      </c>
      <c r="C100" t="inlineStr">
        <is>
          <t>GlowLab</t>
        </is>
      </c>
      <c r="D100" t="inlineStr">
        <is>
          <t>Hair Care</t>
        </is>
      </c>
      <c r="E100" t="n">
        <v>1199</v>
      </c>
      <c r="F100" t="n">
        <v>4.7</v>
      </c>
      <c r="G100" t="n">
        <v>3548</v>
      </c>
      <c r="H100" t="inlineStr">
        <is>
          <t>In Stock</t>
        </is>
      </c>
      <c r="I100" t="inlineStr">
        <is>
          <t>Live</t>
        </is>
      </c>
      <c r="J100" t="inlineStr">
        <is>
          <t>Complete</t>
        </is>
      </c>
      <c r="K100" t="inlineStr">
        <is>
          <t>Complete</t>
        </is>
      </c>
      <c r="L100" t="inlineStr">
        <is>
          <t>Complete</t>
        </is>
      </c>
      <c r="M100" t="inlineStr">
        <is>
          <t>Complete</t>
        </is>
      </c>
      <c r="N100" t="inlineStr">
        <is>
          <t>Complete</t>
        </is>
      </c>
      <c r="O100" s="2">
        <f>COUNTIF(J100:N100,"Complete")/5</f>
        <v/>
      </c>
      <c r="P100" t="inlineStr">
        <is>
          <t>No Issue</t>
        </is>
      </c>
      <c r="Q100" t="inlineStr">
        <is>
          <t>Low</t>
        </is>
      </c>
    </row>
    <row r="101">
      <c r="A101" t="inlineStr">
        <is>
          <t>SKU100</t>
        </is>
      </c>
      <c r="B101" t="inlineStr">
        <is>
          <t>Aurelia Care Hair Serum</t>
        </is>
      </c>
      <c r="C101" t="inlineStr">
        <is>
          <t>Aurelia Care</t>
        </is>
      </c>
      <c r="D101" t="inlineStr">
        <is>
          <t>Hair Care</t>
        </is>
      </c>
      <c r="E101" t="n">
        <v>549</v>
      </c>
      <c r="F101" t="n">
        <v>4.8</v>
      </c>
      <c r="G101" t="n">
        <v>3910</v>
      </c>
      <c r="H101" t="inlineStr">
        <is>
          <t>Out of Stock</t>
        </is>
      </c>
      <c r="I101" t="inlineStr">
        <is>
          <t>Live</t>
        </is>
      </c>
      <c r="J101" t="inlineStr">
        <is>
          <t>Complete</t>
        </is>
      </c>
      <c r="K101" t="inlineStr">
        <is>
          <t>Complete</t>
        </is>
      </c>
      <c r="L101" t="inlineStr">
        <is>
          <t>Complete</t>
        </is>
      </c>
      <c r="M101" t="inlineStr">
        <is>
          <t>Complete</t>
        </is>
      </c>
      <c r="N101" t="inlineStr">
        <is>
          <t>Complete</t>
        </is>
      </c>
      <c r="O101" s="2">
        <f>COUNTIF(J101:N101,"Complete")/5</f>
        <v/>
      </c>
      <c r="P101" t="inlineStr">
        <is>
          <t>Availability Issue</t>
        </is>
      </c>
      <c r="Q101" t="inlineStr">
        <is>
          <t>High</t>
        </is>
      </c>
    </row>
  </sheetData>
  <autoFilter ref="A1:Q101"/>
  <conditionalFormatting sqref="O2:O101">
    <cfRule type="colorScale" priority="1">
      <colorScale>
        <cfvo type="num" val="0"/>
        <cfvo type="num" val="0.8"/>
        <cfvo type="num" val="1"/>
        <color rgb="00F8696B"/>
        <color rgb="00FFEB84"/>
        <color rgb="0063BE7B"/>
      </colorScale>
    </cfRule>
  </conditionalFormatting>
  <conditionalFormatting sqref="F2:F101">
    <cfRule type="colorScale" priority="2">
      <colorScale>
        <cfvo type="num" val="3.2"/>
        <cfvo type="num" val="4.1"/>
        <cfvo type="num" val="4.9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2" customWidth="1" min="4" max="4"/>
    <col width="42" customWidth="1" min="5" max="5"/>
    <col width="12" customWidth="1" min="6" max="6"/>
    <col width="18" customWidth="1" min="7" max="7"/>
    <col width="15" customWidth="1" min="8" max="8"/>
    <col width="38" customWidth="1" min="9" max="9"/>
    <col width="18" customWidth="1" min="10" max="10"/>
  </cols>
  <sheetData>
    <row r="1">
      <c r="A1" s="3" t="inlineStr">
        <is>
          <t>Issue ID</t>
        </is>
      </c>
      <c r="B1" s="3" t="inlineStr">
        <is>
          <t>SKU</t>
        </is>
      </c>
      <c r="C1" s="3" t="inlineStr">
        <is>
          <t>Product</t>
        </is>
      </c>
      <c r="D1" s="3" t="inlineStr">
        <is>
          <t>Issue Type</t>
        </is>
      </c>
      <c r="E1" s="3" t="inlineStr">
        <is>
          <t>Issue Description</t>
        </is>
      </c>
      <c r="F1" s="3" t="inlineStr">
        <is>
          <t>Priority</t>
        </is>
      </c>
      <c r="G1" s="3" t="inlineStr">
        <is>
          <t>Date Identified</t>
        </is>
      </c>
      <c r="H1" s="3" t="inlineStr">
        <is>
          <t>Status</t>
        </is>
      </c>
      <c r="I1" s="3" t="inlineStr">
        <is>
          <t>Action Required</t>
        </is>
      </c>
      <c r="J1" s="3" t="inlineStr">
        <is>
          <t>Date Resolved</t>
        </is>
      </c>
    </row>
    <row r="2">
      <c r="A2" t="inlineStr">
        <is>
          <t>ISS001</t>
        </is>
      </c>
      <c r="B2" t="inlineStr">
        <is>
          <t>SKU001</t>
        </is>
      </c>
      <c r="C2" t="inlineStr">
        <is>
          <t>DermaGlow Hair Serum</t>
        </is>
      </c>
      <c r="D2" t="inlineStr">
        <is>
          <t>Content Issue</t>
        </is>
      </c>
      <c r="E2" t="inlineStr">
        <is>
          <t>One or more listing content fields are incomplete</t>
        </is>
      </c>
      <c r="F2" t="inlineStr">
        <is>
          <t>Medium</t>
        </is>
      </c>
      <c r="G2" t="inlineStr">
        <is>
          <t>2026-09-25</t>
        </is>
      </c>
      <c r="H2" t="inlineStr">
        <is>
          <t>In Progress</t>
        </is>
      </c>
      <c r="I2" t="inlineStr">
        <is>
          <t>Update missing content</t>
        </is>
      </c>
    </row>
    <row r="3">
      <c r="A3" t="inlineStr">
        <is>
          <t>ISS002</t>
        </is>
      </c>
      <c r="B3" t="inlineStr">
        <is>
          <t>SKU003</t>
        </is>
      </c>
      <c r="C3" t="inlineStr">
        <is>
          <t>SkinPure Conditioner</t>
        </is>
      </c>
      <c r="D3" t="inlineStr">
        <is>
          <t>Availability Issue</t>
        </is>
      </c>
      <c r="E3" t="inlineStr">
        <is>
          <t>Product is out of stock</t>
        </is>
      </c>
      <c r="F3" t="inlineStr">
        <is>
          <t>High</t>
        </is>
      </c>
      <c r="G3" t="inlineStr">
        <is>
          <t>2026-09-25</t>
        </is>
      </c>
      <c r="H3" t="inlineStr">
        <is>
          <t>In Progress</t>
        </is>
      </c>
      <c r="I3" t="inlineStr">
        <is>
          <t>Check inventory availability</t>
        </is>
      </c>
    </row>
    <row r="4">
      <c r="A4" t="inlineStr">
        <is>
          <t>ISS003</t>
        </is>
      </c>
      <c r="B4" t="inlineStr">
        <is>
          <t>SKU004</t>
        </is>
      </c>
      <c r="C4" t="inlineStr">
        <is>
          <t>DermaGlow Conditioner</t>
        </is>
      </c>
      <c r="D4" t="inlineStr">
        <is>
          <t>Listing Issue</t>
        </is>
      </c>
      <c r="E4" t="inlineStr">
        <is>
          <t>Listing is inactive or suppressed</t>
        </is>
      </c>
      <c r="F4" t="inlineStr">
        <is>
          <t>High</t>
        </is>
      </c>
      <c r="G4" t="inlineStr">
        <is>
          <t>2026-09-25</t>
        </is>
      </c>
      <c r="H4" t="inlineStr">
        <is>
          <t>Open</t>
        </is>
      </c>
      <c r="I4" t="inlineStr">
        <is>
          <t>Review listing/catalog suppression</t>
        </is>
      </c>
    </row>
    <row r="5">
      <c r="A5" t="inlineStr">
        <is>
          <t>ISS004</t>
        </is>
      </c>
      <c r="B5" t="inlineStr">
        <is>
          <t>SKU005</t>
        </is>
      </c>
      <c r="C5" t="inlineStr">
        <is>
          <t>SkinPure Face Wash</t>
        </is>
      </c>
      <c r="D5" t="inlineStr">
        <is>
          <t>Listing Issue</t>
        </is>
      </c>
      <c r="E5" t="inlineStr">
        <is>
          <t>Listing is inactive or suppressed</t>
        </is>
      </c>
      <c r="F5" t="inlineStr">
        <is>
          <t>Medium</t>
        </is>
      </c>
      <c r="G5" t="inlineStr">
        <is>
          <t>2026-09-25</t>
        </is>
      </c>
      <c r="H5" t="inlineStr">
        <is>
          <t>Open</t>
        </is>
      </c>
      <c r="I5" t="inlineStr">
        <is>
          <t>Review listing/catalog suppression</t>
        </is>
      </c>
    </row>
    <row r="6">
      <c r="A6" t="inlineStr">
        <is>
          <t>ISS005</t>
        </is>
      </c>
      <c r="B6" t="inlineStr">
        <is>
          <t>SKU006</t>
        </is>
      </c>
      <c r="C6" t="inlineStr">
        <is>
          <t>DermaGlow Hair Serum</t>
        </is>
      </c>
      <c r="D6" t="inlineStr">
        <is>
          <t>Content Issue</t>
        </is>
      </c>
      <c r="E6" t="inlineStr">
        <is>
          <t>One or more listing content fields are incomplete</t>
        </is>
      </c>
      <c r="F6" t="inlineStr">
        <is>
          <t>Medium</t>
        </is>
      </c>
      <c r="G6" t="inlineStr">
        <is>
          <t>2026-09-25</t>
        </is>
      </c>
      <c r="H6" t="inlineStr">
        <is>
          <t>In Progress</t>
        </is>
      </c>
      <c r="I6" t="inlineStr">
        <is>
          <t>Update missing content</t>
        </is>
      </c>
    </row>
    <row r="7">
      <c r="A7" t="inlineStr">
        <is>
          <t>ISS006</t>
        </is>
      </c>
      <c r="B7" t="inlineStr">
        <is>
          <t>SKU007</t>
        </is>
      </c>
      <c r="C7" t="inlineStr">
        <is>
          <t>DermaGlow Body Wash</t>
        </is>
      </c>
      <c r="D7" t="inlineStr">
        <is>
          <t>Content Issue</t>
        </is>
      </c>
      <c r="E7" t="inlineStr">
        <is>
          <t>One or more listing content fields are incomplete</t>
        </is>
      </c>
      <c r="F7" t="inlineStr">
        <is>
          <t>Medium</t>
        </is>
      </c>
      <c r="G7" t="inlineStr">
        <is>
          <t>2026-09-25</t>
        </is>
      </c>
      <c r="H7" t="inlineStr">
        <is>
          <t>In Progress</t>
        </is>
      </c>
      <c r="I7" t="inlineStr">
        <is>
          <t>Update missing content</t>
        </is>
      </c>
    </row>
    <row r="8">
      <c r="A8" t="inlineStr">
        <is>
          <t>ISS007</t>
        </is>
      </c>
      <c r="B8" t="inlineStr">
        <is>
          <t>SKU008</t>
        </is>
      </c>
      <c r="C8" t="inlineStr">
        <is>
          <t>DermaNest Hand Cream</t>
        </is>
      </c>
      <c r="D8" t="inlineStr">
        <is>
          <t>Content Issue</t>
        </is>
      </c>
      <c r="E8" t="inlineStr">
        <is>
          <t>One or more listing content fields are incomplete</t>
        </is>
      </c>
      <c r="F8" t="inlineStr">
        <is>
          <t>Medium</t>
        </is>
      </c>
      <c r="G8" t="inlineStr">
        <is>
          <t>2026-09-25</t>
        </is>
      </c>
      <c r="H8" t="inlineStr">
        <is>
          <t>Resolved</t>
        </is>
      </c>
      <c r="I8" t="inlineStr">
        <is>
          <t>Update missing content</t>
        </is>
      </c>
      <c r="J8" t="inlineStr">
        <is>
          <t>2026-09-25</t>
        </is>
      </c>
    </row>
    <row r="9">
      <c r="A9" t="inlineStr">
        <is>
          <t>ISS008</t>
        </is>
      </c>
      <c r="B9" t="inlineStr">
        <is>
          <t>SKU009</t>
        </is>
      </c>
      <c r="C9" t="inlineStr">
        <is>
          <t>GlowLab Vitamin C Serum</t>
        </is>
      </c>
      <c r="D9" t="inlineStr">
        <is>
          <t>Listing Issue</t>
        </is>
      </c>
      <c r="E9" t="inlineStr">
        <is>
          <t>Listing is inactive or suppressed</t>
        </is>
      </c>
      <c r="F9" t="inlineStr">
        <is>
          <t>High</t>
        </is>
      </c>
      <c r="G9" t="inlineStr">
        <is>
          <t>2026-09-25</t>
        </is>
      </c>
      <c r="H9" t="inlineStr">
        <is>
          <t>Resolved</t>
        </is>
      </c>
      <c r="I9" t="inlineStr">
        <is>
          <t>Review listing/catalog suppression</t>
        </is>
      </c>
      <c r="J9" t="inlineStr">
        <is>
          <t>2026-09-25</t>
        </is>
      </c>
    </row>
    <row r="10">
      <c r="A10" t="inlineStr">
        <is>
          <t>ISS009</t>
        </is>
      </c>
      <c r="B10" t="inlineStr">
        <is>
          <t>SKU011</t>
        </is>
      </c>
      <c r="C10" t="inlineStr">
        <is>
          <t>Aurelia Care Shampoo</t>
        </is>
      </c>
      <c r="D10" t="inlineStr">
        <is>
          <t>Listing Issue</t>
        </is>
      </c>
      <c r="E10" t="inlineStr">
        <is>
          <t>Listing is inactive or suppressed</t>
        </is>
      </c>
      <c r="F10" t="inlineStr">
        <is>
          <t>High</t>
        </is>
      </c>
      <c r="G10" t="inlineStr">
        <is>
          <t>2026-09-25</t>
        </is>
      </c>
      <c r="H10" t="inlineStr">
        <is>
          <t>Resolved</t>
        </is>
      </c>
      <c r="I10" t="inlineStr">
        <is>
          <t>Review listing/catalog suppression</t>
        </is>
      </c>
      <c r="J10" t="inlineStr">
        <is>
          <t>2026-09-25</t>
        </is>
      </c>
    </row>
    <row r="11">
      <c r="A11" t="inlineStr">
        <is>
          <t>ISS010</t>
        </is>
      </c>
      <c r="B11" t="inlineStr">
        <is>
          <t>SKU012</t>
        </is>
      </c>
      <c r="C11" t="inlineStr">
        <is>
          <t>GlowLab Conditioner</t>
        </is>
      </c>
      <c r="D11" t="inlineStr">
        <is>
          <t>Availability Issue</t>
        </is>
      </c>
      <c r="E11" t="inlineStr">
        <is>
          <t>Product is out of stock</t>
        </is>
      </c>
      <c r="F11" t="inlineStr">
        <is>
          <t>High</t>
        </is>
      </c>
      <c r="G11" t="inlineStr">
        <is>
          <t>2026-09-25</t>
        </is>
      </c>
      <c r="H11" t="inlineStr">
        <is>
          <t>Resolved</t>
        </is>
      </c>
      <c r="I11" t="inlineStr">
        <is>
          <t>Check inventory availability</t>
        </is>
      </c>
      <c r="J11" t="inlineStr">
        <is>
          <t>2026-09-25</t>
        </is>
      </c>
    </row>
    <row r="12">
      <c r="A12" t="inlineStr">
        <is>
          <t>ISS011</t>
        </is>
      </c>
      <c r="B12" t="inlineStr">
        <is>
          <t>SKU013</t>
        </is>
      </c>
      <c r="C12" t="inlineStr">
        <is>
          <t>DermaGlow Sunscreen</t>
        </is>
      </c>
      <c r="D12" t="inlineStr">
        <is>
          <t>Listing Issue</t>
        </is>
      </c>
      <c r="E12" t="inlineStr">
        <is>
          <t>Listing is inactive or suppressed</t>
        </is>
      </c>
      <c r="F12" t="inlineStr">
        <is>
          <t>High</t>
        </is>
      </c>
      <c r="G12" t="inlineStr">
        <is>
          <t>2026-09-25</t>
        </is>
      </c>
      <c r="H12" t="inlineStr">
        <is>
          <t>In Progress</t>
        </is>
      </c>
      <c r="I12" t="inlineStr">
        <is>
          <t>Review listing/catalog suppression</t>
        </is>
      </c>
    </row>
    <row r="13">
      <c r="A13" t="inlineStr">
        <is>
          <t>ISS012</t>
        </is>
      </c>
      <c r="B13" t="inlineStr">
        <is>
          <t>SKU014</t>
        </is>
      </c>
      <c r="C13" t="inlineStr">
        <is>
          <t>SkinPure Body Lotion</t>
        </is>
      </c>
      <c r="D13" t="inlineStr">
        <is>
          <t>Content Issue</t>
        </is>
      </c>
      <c r="E13" t="inlineStr">
        <is>
          <t>One or more listing content fields are incomplete</t>
        </is>
      </c>
      <c r="F13" t="inlineStr">
        <is>
          <t>Medium</t>
        </is>
      </c>
      <c r="G13" t="inlineStr">
        <is>
          <t>2026-09-25</t>
        </is>
      </c>
      <c r="H13" t="inlineStr">
        <is>
          <t>In Progress</t>
        </is>
      </c>
      <c r="I13" t="inlineStr">
        <is>
          <t>Update missing content</t>
        </is>
      </c>
    </row>
    <row r="14">
      <c r="A14" t="inlineStr">
        <is>
          <t>ISS013</t>
        </is>
      </c>
      <c r="B14" t="inlineStr">
        <is>
          <t>SKU016</t>
        </is>
      </c>
      <c r="C14" t="inlineStr">
        <is>
          <t>SkinPure Face Mask</t>
        </is>
      </c>
      <c r="D14" t="inlineStr">
        <is>
          <t>Content Issue</t>
        </is>
      </c>
      <c r="E14" t="inlineStr">
        <is>
          <t>One or more listing content fields are incomplete</t>
        </is>
      </c>
      <c r="F14" t="inlineStr">
        <is>
          <t>Medium</t>
        </is>
      </c>
      <c r="G14" t="inlineStr">
        <is>
          <t>2026-09-25</t>
        </is>
      </c>
      <c r="H14" t="inlineStr">
        <is>
          <t>In Progress</t>
        </is>
      </c>
      <c r="I14" t="inlineStr">
        <is>
          <t>Update missing content</t>
        </is>
      </c>
    </row>
    <row r="15">
      <c r="A15" t="inlineStr">
        <is>
          <t>ISS014</t>
        </is>
      </c>
      <c r="B15" t="inlineStr">
        <is>
          <t>SKU017</t>
        </is>
      </c>
      <c r="C15" t="inlineStr">
        <is>
          <t>DermaGlow Sunscreen</t>
        </is>
      </c>
      <c r="D15" t="inlineStr">
        <is>
          <t>Availability Issue</t>
        </is>
      </c>
      <c r="E15" t="inlineStr">
        <is>
          <t>Product is out of stock</t>
        </is>
      </c>
      <c r="F15" t="inlineStr">
        <is>
          <t>High</t>
        </is>
      </c>
      <c r="G15" t="inlineStr">
        <is>
          <t>2026-09-25</t>
        </is>
      </c>
      <c r="H15" t="inlineStr">
        <is>
          <t>Open</t>
        </is>
      </c>
      <c r="I15" t="inlineStr">
        <is>
          <t>Check inventory availability</t>
        </is>
      </c>
    </row>
    <row r="16">
      <c r="A16" t="inlineStr">
        <is>
          <t>ISS015</t>
        </is>
      </c>
      <c r="B16" t="inlineStr">
        <is>
          <t>SKU018</t>
        </is>
      </c>
      <c r="C16" t="inlineStr">
        <is>
          <t>DermaGlow Conditioner</t>
        </is>
      </c>
      <c r="D16" t="inlineStr">
        <is>
          <t>Content Issue</t>
        </is>
      </c>
      <c r="E16" t="inlineStr">
        <is>
          <t>One or more listing content fields are incomplete</t>
        </is>
      </c>
      <c r="F16" t="inlineStr">
        <is>
          <t>Medium</t>
        </is>
      </c>
      <c r="G16" t="inlineStr">
        <is>
          <t>2026-09-25</t>
        </is>
      </c>
      <c r="H16" t="inlineStr">
        <is>
          <t>In Progress</t>
        </is>
      </c>
      <c r="I16" t="inlineStr">
        <is>
          <t>Update missing content</t>
        </is>
      </c>
    </row>
    <row r="17">
      <c r="A17" t="inlineStr">
        <is>
          <t>ISS016</t>
        </is>
      </c>
      <c r="B17" t="inlineStr">
        <is>
          <t>SKU019</t>
        </is>
      </c>
      <c r="C17" t="inlineStr">
        <is>
          <t>DermaGlow Face Mask</t>
        </is>
      </c>
      <c r="D17" t="inlineStr">
        <is>
          <t>Listing Issue</t>
        </is>
      </c>
      <c r="E17" t="inlineStr">
        <is>
          <t>Listing is inactive or suppressed</t>
        </is>
      </c>
      <c r="F17" t="inlineStr">
        <is>
          <t>High</t>
        </is>
      </c>
      <c r="G17" t="inlineStr">
        <is>
          <t>2026-09-25</t>
        </is>
      </c>
      <c r="H17" t="inlineStr">
        <is>
          <t>Open</t>
        </is>
      </c>
      <c r="I17" t="inlineStr">
        <is>
          <t>Review listing/catalog suppression</t>
        </is>
      </c>
    </row>
    <row r="18">
      <c r="A18" t="inlineStr">
        <is>
          <t>ISS017</t>
        </is>
      </c>
      <c r="B18" t="inlineStr">
        <is>
          <t>SKU020</t>
        </is>
      </c>
      <c r="C18" t="inlineStr">
        <is>
          <t>SkinPure Face Wash</t>
        </is>
      </c>
      <c r="D18" t="inlineStr">
        <is>
          <t>Content Issue</t>
        </is>
      </c>
      <c r="E18" t="inlineStr">
        <is>
          <t>One or more listing content fields are incomplete</t>
        </is>
      </c>
      <c r="F18" t="inlineStr">
        <is>
          <t>Medium</t>
        </is>
      </c>
      <c r="G18" t="inlineStr">
        <is>
          <t>2026-09-25</t>
        </is>
      </c>
      <c r="H18" t="inlineStr">
        <is>
          <t>Open</t>
        </is>
      </c>
      <c r="I18" t="inlineStr">
        <is>
          <t>Update missing content</t>
        </is>
      </c>
    </row>
    <row r="19">
      <c r="A19" t="inlineStr">
        <is>
          <t>ISS018</t>
        </is>
      </c>
      <c r="B19" t="inlineStr">
        <is>
          <t>SKU021</t>
        </is>
      </c>
      <c r="C19" t="inlineStr">
        <is>
          <t>DermaNest Shampoo</t>
        </is>
      </c>
      <c r="D19" t="inlineStr">
        <is>
          <t>Listing Issue</t>
        </is>
      </c>
      <c r="E19" t="inlineStr">
        <is>
          <t>Listing is inactive or suppressed</t>
        </is>
      </c>
      <c r="F19" t="inlineStr">
        <is>
          <t>High</t>
        </is>
      </c>
      <c r="G19" t="inlineStr">
        <is>
          <t>2026-09-25</t>
        </is>
      </c>
      <c r="H19" t="inlineStr">
        <is>
          <t>Resolved</t>
        </is>
      </c>
      <c r="I19" t="inlineStr">
        <is>
          <t>Review listing/catalog suppression</t>
        </is>
      </c>
      <c r="J19" t="inlineStr">
        <is>
          <t>2026-09-25</t>
        </is>
      </c>
    </row>
    <row r="20">
      <c r="A20" t="inlineStr">
        <is>
          <t>ISS019</t>
        </is>
      </c>
      <c r="B20" t="inlineStr">
        <is>
          <t>SKU022</t>
        </is>
      </c>
      <c r="C20" t="inlineStr">
        <is>
          <t>DermaGlow Vitamin C Serum</t>
        </is>
      </c>
      <c r="D20" t="inlineStr">
        <is>
          <t>Content Issue</t>
        </is>
      </c>
      <c r="E20" t="inlineStr">
        <is>
          <t>One or more listing content fields are incomplete</t>
        </is>
      </c>
      <c r="F20" t="inlineStr">
        <is>
          <t>Medium</t>
        </is>
      </c>
      <c r="G20" t="inlineStr">
        <is>
          <t>2026-09-25</t>
        </is>
      </c>
      <c r="H20" t="inlineStr">
        <is>
          <t>In Progress</t>
        </is>
      </c>
      <c r="I20" t="inlineStr">
        <is>
          <t>Update missing content</t>
        </is>
      </c>
    </row>
    <row r="21">
      <c r="A21" t="inlineStr">
        <is>
          <t>ISS020</t>
        </is>
      </c>
      <c r="B21" t="inlineStr">
        <is>
          <t>SKU023</t>
        </is>
      </c>
      <c r="C21" t="inlineStr">
        <is>
          <t>GlowLab Face Wash</t>
        </is>
      </c>
      <c r="D21" t="inlineStr">
        <is>
          <t>Availability Issue</t>
        </is>
      </c>
      <c r="E21" t="inlineStr">
        <is>
          <t>Product is out of stock</t>
        </is>
      </c>
      <c r="F21" t="inlineStr">
        <is>
          <t>High</t>
        </is>
      </c>
      <c r="G21" t="inlineStr">
        <is>
          <t>2026-09-25</t>
        </is>
      </c>
      <c r="H21" t="inlineStr">
        <is>
          <t>Resolved</t>
        </is>
      </c>
      <c r="I21" t="inlineStr">
        <is>
          <t>Check inventory availability</t>
        </is>
      </c>
      <c r="J21" t="inlineStr">
        <is>
          <t>2026-09-25</t>
        </is>
      </c>
    </row>
    <row r="22">
      <c r="A22" t="inlineStr">
        <is>
          <t>ISS021</t>
        </is>
      </c>
      <c r="B22" t="inlineStr">
        <is>
          <t>SKU025</t>
        </is>
      </c>
      <c r="C22" t="inlineStr">
        <is>
          <t>DermaGlow Cleanser</t>
        </is>
      </c>
      <c r="D22" t="inlineStr">
        <is>
          <t>Content Issue</t>
        </is>
      </c>
      <c r="E22" t="inlineStr">
        <is>
          <t>One or more listing content fields are incomplete</t>
        </is>
      </c>
      <c r="F22" t="inlineStr">
        <is>
          <t>Medium</t>
        </is>
      </c>
      <c r="G22" t="inlineStr">
        <is>
          <t>2026-09-25</t>
        </is>
      </c>
      <c r="H22" t="inlineStr">
        <is>
          <t>In Progress</t>
        </is>
      </c>
      <c r="I22" t="inlineStr">
        <is>
          <t>Update missing content</t>
        </is>
      </c>
    </row>
    <row r="23">
      <c r="A23" t="inlineStr">
        <is>
          <t>ISS022</t>
        </is>
      </c>
      <c r="B23" t="inlineStr">
        <is>
          <t>SKU026</t>
        </is>
      </c>
      <c r="C23" t="inlineStr">
        <is>
          <t>Aurelia Care Face Mask</t>
        </is>
      </c>
      <c r="D23" t="inlineStr">
        <is>
          <t>Availability Issue</t>
        </is>
      </c>
      <c r="E23" t="inlineStr">
        <is>
          <t>Product is out of stock</t>
        </is>
      </c>
      <c r="F23" t="inlineStr">
        <is>
          <t>High</t>
        </is>
      </c>
      <c r="G23" t="inlineStr">
        <is>
          <t>2026-09-25</t>
        </is>
      </c>
      <c r="H23" t="inlineStr">
        <is>
          <t>Resolved</t>
        </is>
      </c>
      <c r="I23" t="inlineStr">
        <is>
          <t>Check inventory availability</t>
        </is>
      </c>
      <c r="J23" t="inlineStr">
        <is>
          <t>2026-09-25</t>
        </is>
      </c>
    </row>
    <row r="24">
      <c r="A24" t="inlineStr">
        <is>
          <t>ISS023</t>
        </is>
      </c>
      <c r="B24" t="inlineStr">
        <is>
          <t>SKU028</t>
        </is>
      </c>
      <c r="C24" t="inlineStr">
        <is>
          <t>DermaNest Shampoo</t>
        </is>
      </c>
      <c r="D24" t="inlineStr">
        <is>
          <t>Content Issue</t>
        </is>
      </c>
      <c r="E24" t="inlineStr">
        <is>
          <t>One or more listing content fields are incomplete</t>
        </is>
      </c>
      <c r="F24" t="inlineStr">
        <is>
          <t>Medium</t>
        </is>
      </c>
      <c r="G24" t="inlineStr">
        <is>
          <t>2026-09-25</t>
        </is>
      </c>
      <c r="H24" t="inlineStr">
        <is>
          <t>Resolved</t>
        </is>
      </c>
      <c r="I24" t="inlineStr">
        <is>
          <t>Update missing content</t>
        </is>
      </c>
      <c r="J24" t="inlineStr">
        <is>
          <t>2026-09-25</t>
        </is>
      </c>
    </row>
    <row r="25">
      <c r="A25" t="inlineStr">
        <is>
          <t>ISS024</t>
        </is>
      </c>
      <c r="B25" t="inlineStr">
        <is>
          <t>SKU029</t>
        </is>
      </c>
      <c r="C25" t="inlineStr">
        <is>
          <t>DermaNest Vitamin C Serum</t>
        </is>
      </c>
      <c r="D25" t="inlineStr">
        <is>
          <t>Listing Issue</t>
        </is>
      </c>
      <c r="E25" t="inlineStr">
        <is>
          <t>Listing is inactive or suppressed</t>
        </is>
      </c>
      <c r="F25" t="inlineStr">
        <is>
          <t>Medium</t>
        </is>
      </c>
      <c r="G25" t="inlineStr">
        <is>
          <t>2026-09-25</t>
        </is>
      </c>
      <c r="H25" t="inlineStr">
        <is>
          <t>Resolved</t>
        </is>
      </c>
      <c r="I25" t="inlineStr">
        <is>
          <t>Review listing/catalog suppression</t>
        </is>
      </c>
      <c r="J25" t="inlineStr">
        <is>
          <t>2026-09-25</t>
        </is>
      </c>
    </row>
    <row r="26">
      <c r="A26" t="inlineStr">
        <is>
          <t>ISS025</t>
        </is>
      </c>
      <c r="B26" t="inlineStr">
        <is>
          <t>SKU030</t>
        </is>
      </c>
      <c r="C26" t="inlineStr">
        <is>
          <t>DermaNest Hand Cream</t>
        </is>
      </c>
      <c r="D26" t="inlineStr">
        <is>
          <t>Listing Issue</t>
        </is>
      </c>
      <c r="E26" t="inlineStr">
        <is>
          <t>Listing is inactive or suppressed</t>
        </is>
      </c>
      <c r="F26" t="inlineStr">
        <is>
          <t>High</t>
        </is>
      </c>
      <c r="G26" t="inlineStr">
        <is>
          <t>2026-09-25</t>
        </is>
      </c>
      <c r="H26" t="inlineStr">
        <is>
          <t>Resolved</t>
        </is>
      </c>
      <c r="I26" t="inlineStr">
        <is>
          <t>Review listing/catalog suppression</t>
        </is>
      </c>
      <c r="J26" t="inlineStr">
        <is>
          <t>2026-09-25</t>
        </is>
      </c>
    </row>
    <row r="27">
      <c r="A27" t="inlineStr">
        <is>
          <t>ISS026</t>
        </is>
      </c>
      <c r="B27" t="inlineStr">
        <is>
          <t>SKU031</t>
        </is>
      </c>
      <c r="C27" t="inlineStr">
        <is>
          <t>SkinPure Conditioner</t>
        </is>
      </c>
      <c r="D27" t="inlineStr">
        <is>
          <t>Content Issue</t>
        </is>
      </c>
      <c r="E27" t="inlineStr">
        <is>
          <t>One or more listing content fields are incomplete</t>
        </is>
      </c>
      <c r="F27" t="inlineStr">
        <is>
          <t>Medium</t>
        </is>
      </c>
      <c r="G27" t="inlineStr">
        <is>
          <t>2026-09-25</t>
        </is>
      </c>
      <c r="H27" t="inlineStr">
        <is>
          <t>In Progress</t>
        </is>
      </c>
      <c r="I27" t="inlineStr">
        <is>
          <t>Update missing content</t>
        </is>
      </c>
    </row>
    <row r="28">
      <c r="A28" t="inlineStr">
        <is>
          <t>ISS027</t>
        </is>
      </c>
      <c r="B28" t="inlineStr">
        <is>
          <t>SKU032</t>
        </is>
      </c>
      <c r="C28" t="inlineStr">
        <is>
          <t>SkinPure Body Wash</t>
        </is>
      </c>
      <c r="D28" t="inlineStr">
        <is>
          <t>Rating Issue</t>
        </is>
      </c>
      <c r="E28" t="inlineStr">
        <is>
          <t>Rating is below 3.8</t>
        </is>
      </c>
      <c r="F28" t="inlineStr">
        <is>
          <t>Medium</t>
        </is>
      </c>
      <c r="G28" t="inlineStr">
        <is>
          <t>2026-09-25</t>
        </is>
      </c>
      <c r="H28" t="inlineStr">
        <is>
          <t>In Progress</t>
        </is>
      </c>
      <c r="I28" t="inlineStr">
        <is>
          <t>Review recurring customer feedback</t>
        </is>
      </c>
    </row>
    <row r="29">
      <c r="A29" t="inlineStr">
        <is>
          <t>ISS028</t>
        </is>
      </c>
      <c r="B29" t="inlineStr">
        <is>
          <t>SKU033</t>
        </is>
      </c>
      <c r="C29" t="inlineStr">
        <is>
          <t>GlowLab Body Wash</t>
        </is>
      </c>
      <c r="D29" t="inlineStr">
        <is>
          <t>Listing Issue</t>
        </is>
      </c>
      <c r="E29" t="inlineStr">
        <is>
          <t>Listing is inactive or suppressed</t>
        </is>
      </c>
      <c r="F29" t="inlineStr">
        <is>
          <t>Medium</t>
        </is>
      </c>
      <c r="G29" t="inlineStr">
        <is>
          <t>2026-09-25</t>
        </is>
      </c>
      <c r="H29" t="inlineStr">
        <is>
          <t>Open</t>
        </is>
      </c>
      <c r="I29" t="inlineStr">
        <is>
          <t>Review listing/catalog suppression</t>
        </is>
      </c>
    </row>
    <row r="30">
      <c r="A30" t="inlineStr">
        <is>
          <t>ISS029</t>
        </is>
      </c>
      <c r="B30" t="inlineStr">
        <is>
          <t>SKU034</t>
        </is>
      </c>
      <c r="C30" t="inlineStr">
        <is>
          <t>GlowLab Body Lotion</t>
        </is>
      </c>
      <c r="D30" t="inlineStr">
        <is>
          <t>Content Issue</t>
        </is>
      </c>
      <c r="E30" t="inlineStr">
        <is>
          <t>One or more listing content fields are incomplete</t>
        </is>
      </c>
      <c r="F30" t="inlineStr">
        <is>
          <t>Medium</t>
        </is>
      </c>
      <c r="G30" t="inlineStr">
        <is>
          <t>2026-09-25</t>
        </is>
      </c>
      <c r="H30" t="inlineStr">
        <is>
          <t>Resolved</t>
        </is>
      </c>
      <c r="I30" t="inlineStr">
        <is>
          <t>Update missing content</t>
        </is>
      </c>
      <c r="J30" t="inlineStr">
        <is>
          <t>2026-09-25</t>
        </is>
      </c>
    </row>
    <row r="31">
      <c r="A31" t="inlineStr">
        <is>
          <t>ISS030</t>
        </is>
      </c>
      <c r="B31" t="inlineStr">
        <is>
          <t>SKU035</t>
        </is>
      </c>
      <c r="C31" t="inlineStr">
        <is>
          <t>SkinPure Shampoo</t>
        </is>
      </c>
      <c r="D31" t="inlineStr">
        <is>
          <t>Content Issue</t>
        </is>
      </c>
      <c r="E31" t="inlineStr">
        <is>
          <t>One or more listing content fields are incomplete</t>
        </is>
      </c>
      <c r="F31" t="inlineStr">
        <is>
          <t>Medium</t>
        </is>
      </c>
      <c r="G31" t="inlineStr">
        <is>
          <t>2026-09-25</t>
        </is>
      </c>
      <c r="H31" t="inlineStr">
        <is>
          <t>Resolved</t>
        </is>
      </c>
      <c r="I31" t="inlineStr">
        <is>
          <t>Update missing content</t>
        </is>
      </c>
      <c r="J31" t="inlineStr">
        <is>
          <t>2026-09-25</t>
        </is>
      </c>
    </row>
    <row r="32">
      <c r="A32" t="inlineStr">
        <is>
          <t>ISS031</t>
        </is>
      </c>
      <c r="B32" t="inlineStr">
        <is>
          <t>SKU036</t>
        </is>
      </c>
      <c r="C32" t="inlineStr">
        <is>
          <t>Aurelia Care Shampoo</t>
        </is>
      </c>
      <c r="D32" t="inlineStr">
        <is>
          <t>Rating Issue</t>
        </is>
      </c>
      <c r="E32" t="inlineStr">
        <is>
          <t>Rating is below 3.8</t>
        </is>
      </c>
      <c r="F32" t="inlineStr">
        <is>
          <t>Medium</t>
        </is>
      </c>
      <c r="G32" t="inlineStr">
        <is>
          <t>2026-09-25</t>
        </is>
      </c>
      <c r="H32" t="inlineStr">
        <is>
          <t>Open</t>
        </is>
      </c>
      <c r="I32" t="inlineStr">
        <is>
          <t>Review recurring customer feedback</t>
        </is>
      </c>
    </row>
    <row r="33">
      <c r="A33" t="inlineStr">
        <is>
          <t>ISS032</t>
        </is>
      </c>
      <c r="B33" t="inlineStr">
        <is>
          <t>SKU037</t>
        </is>
      </c>
      <c r="C33" t="inlineStr">
        <is>
          <t>Aurelia Care Niacinamide Serum</t>
        </is>
      </c>
      <c r="D33" t="inlineStr">
        <is>
          <t>Content Issue</t>
        </is>
      </c>
      <c r="E33" t="inlineStr">
        <is>
          <t>One or more listing content fields are incomplete</t>
        </is>
      </c>
      <c r="F33" t="inlineStr">
        <is>
          <t>Medium</t>
        </is>
      </c>
      <c r="G33" t="inlineStr">
        <is>
          <t>2026-09-25</t>
        </is>
      </c>
      <c r="H33" t="inlineStr">
        <is>
          <t>Open</t>
        </is>
      </c>
      <c r="I33" t="inlineStr">
        <is>
          <t>Update missing content</t>
        </is>
      </c>
    </row>
    <row r="34">
      <c r="A34" t="inlineStr">
        <is>
          <t>ISS033</t>
        </is>
      </c>
      <c r="B34" t="inlineStr">
        <is>
          <t>SKU038</t>
        </is>
      </c>
      <c r="C34" t="inlineStr">
        <is>
          <t>SkinPure Shampoo</t>
        </is>
      </c>
      <c r="D34" t="inlineStr">
        <is>
          <t>Content Issue</t>
        </is>
      </c>
      <c r="E34" t="inlineStr">
        <is>
          <t>One or more listing content fields are incomplete</t>
        </is>
      </c>
      <c r="F34" t="inlineStr">
        <is>
          <t>Medium</t>
        </is>
      </c>
      <c r="G34" t="inlineStr">
        <is>
          <t>2026-09-25</t>
        </is>
      </c>
      <c r="H34" t="inlineStr">
        <is>
          <t>Resolved</t>
        </is>
      </c>
      <c r="I34" t="inlineStr">
        <is>
          <t>Update missing content</t>
        </is>
      </c>
      <c r="J34" t="inlineStr">
        <is>
          <t>2026-09-25</t>
        </is>
      </c>
    </row>
    <row r="35">
      <c r="A35" t="inlineStr">
        <is>
          <t>ISS034</t>
        </is>
      </c>
      <c r="B35" t="inlineStr">
        <is>
          <t>SKU039</t>
        </is>
      </c>
      <c r="C35" t="inlineStr">
        <is>
          <t>DermaGlow Vitamin C Serum</t>
        </is>
      </c>
      <c r="D35" t="inlineStr">
        <is>
          <t>Content Issue</t>
        </is>
      </c>
      <c r="E35" t="inlineStr">
        <is>
          <t>One or more listing content fields are incomplete</t>
        </is>
      </c>
      <c r="F35" t="inlineStr">
        <is>
          <t>Medium</t>
        </is>
      </c>
      <c r="G35" t="inlineStr">
        <is>
          <t>2026-09-25</t>
        </is>
      </c>
      <c r="H35" t="inlineStr">
        <is>
          <t>Open</t>
        </is>
      </c>
      <c r="I35" t="inlineStr">
        <is>
          <t>Update missing content</t>
        </is>
      </c>
    </row>
    <row r="36">
      <c r="A36" t="inlineStr">
        <is>
          <t>ISS035</t>
        </is>
      </c>
      <c r="B36" t="inlineStr">
        <is>
          <t>SKU040</t>
        </is>
      </c>
      <c r="C36" t="inlineStr">
        <is>
          <t>SkinPure Body Lotion</t>
        </is>
      </c>
      <c r="D36" t="inlineStr">
        <is>
          <t>Listing Issue</t>
        </is>
      </c>
      <c r="E36" t="inlineStr">
        <is>
          <t>Listing is inactive or suppressed</t>
        </is>
      </c>
      <c r="F36" t="inlineStr">
        <is>
          <t>High</t>
        </is>
      </c>
      <c r="G36" t="inlineStr">
        <is>
          <t>2026-09-25</t>
        </is>
      </c>
      <c r="H36" t="inlineStr">
        <is>
          <t>Open</t>
        </is>
      </c>
      <c r="I36" t="inlineStr">
        <is>
          <t>Review listing/catalog suppression</t>
        </is>
      </c>
    </row>
    <row r="37">
      <c r="A37" t="inlineStr">
        <is>
          <t>ISS036</t>
        </is>
      </c>
      <c r="B37" t="inlineStr">
        <is>
          <t>SKU041</t>
        </is>
      </c>
      <c r="C37" t="inlineStr">
        <is>
          <t>SkinPure Face Mask</t>
        </is>
      </c>
      <c r="D37" t="inlineStr">
        <is>
          <t>Availability Issue</t>
        </is>
      </c>
      <c r="E37" t="inlineStr">
        <is>
          <t>Product is out of stock</t>
        </is>
      </c>
      <c r="F37" t="inlineStr">
        <is>
          <t>High</t>
        </is>
      </c>
      <c r="G37" t="inlineStr">
        <is>
          <t>2026-09-25</t>
        </is>
      </c>
      <c r="H37" t="inlineStr">
        <is>
          <t>Open</t>
        </is>
      </c>
      <c r="I37" t="inlineStr">
        <is>
          <t>Check inventory availability</t>
        </is>
      </c>
    </row>
    <row r="38">
      <c r="A38" t="inlineStr">
        <is>
          <t>ISS037</t>
        </is>
      </c>
      <c r="B38" t="inlineStr">
        <is>
          <t>SKU043</t>
        </is>
      </c>
      <c r="C38" t="inlineStr">
        <is>
          <t>SkinPure Hair Serum</t>
        </is>
      </c>
      <c r="D38" t="inlineStr">
        <is>
          <t>Content Issue</t>
        </is>
      </c>
      <c r="E38" t="inlineStr">
        <is>
          <t>One or more listing content fields are incomplete</t>
        </is>
      </c>
      <c r="F38" t="inlineStr">
        <is>
          <t>Medium</t>
        </is>
      </c>
      <c r="G38" t="inlineStr">
        <is>
          <t>2026-09-25</t>
        </is>
      </c>
      <c r="H38" t="inlineStr">
        <is>
          <t>Resolved</t>
        </is>
      </c>
      <c r="I38" t="inlineStr">
        <is>
          <t>Update missing content</t>
        </is>
      </c>
      <c r="J38" t="inlineStr">
        <is>
          <t>2026-09-25</t>
        </is>
      </c>
    </row>
    <row r="39">
      <c r="A39" t="inlineStr">
        <is>
          <t>ISS038</t>
        </is>
      </c>
      <c r="B39" t="inlineStr">
        <is>
          <t>SKU044</t>
        </is>
      </c>
      <c r="C39" t="inlineStr">
        <is>
          <t>DermaGlow Moisturizer</t>
        </is>
      </c>
      <c r="D39" t="inlineStr">
        <is>
          <t>Content Issue</t>
        </is>
      </c>
      <c r="E39" t="inlineStr">
        <is>
          <t>One or more listing content fields are incomplete</t>
        </is>
      </c>
      <c r="F39" t="inlineStr">
        <is>
          <t>Medium</t>
        </is>
      </c>
      <c r="G39" t="inlineStr">
        <is>
          <t>2026-09-25</t>
        </is>
      </c>
      <c r="H39" t="inlineStr">
        <is>
          <t>In Progress</t>
        </is>
      </c>
      <c r="I39" t="inlineStr">
        <is>
          <t>Update missing content</t>
        </is>
      </c>
    </row>
    <row r="40">
      <c r="A40" t="inlineStr">
        <is>
          <t>ISS039</t>
        </is>
      </c>
      <c r="B40" t="inlineStr">
        <is>
          <t>SKU045</t>
        </is>
      </c>
      <c r="C40" t="inlineStr">
        <is>
          <t>GlowLab Hand Cream</t>
        </is>
      </c>
      <c r="D40" t="inlineStr">
        <is>
          <t>Content Issue</t>
        </is>
      </c>
      <c r="E40" t="inlineStr">
        <is>
          <t>One or more listing content fields are incomplete</t>
        </is>
      </c>
      <c r="F40" t="inlineStr">
        <is>
          <t>Medium</t>
        </is>
      </c>
      <c r="G40" t="inlineStr">
        <is>
          <t>2026-09-25</t>
        </is>
      </c>
      <c r="H40" t="inlineStr">
        <is>
          <t>In Progress</t>
        </is>
      </c>
      <c r="I40" t="inlineStr">
        <is>
          <t>Update missing content</t>
        </is>
      </c>
    </row>
    <row r="41">
      <c r="A41" t="inlineStr">
        <is>
          <t>ISS040</t>
        </is>
      </c>
      <c r="B41" t="inlineStr">
        <is>
          <t>SKU046</t>
        </is>
      </c>
      <c r="C41" t="inlineStr">
        <is>
          <t>SkinPure Hand Cream</t>
        </is>
      </c>
      <c r="D41" t="inlineStr">
        <is>
          <t>Content Issue</t>
        </is>
      </c>
      <c r="E41" t="inlineStr">
        <is>
          <t>One or more listing content fields are incomplete</t>
        </is>
      </c>
      <c r="F41" t="inlineStr">
        <is>
          <t>Medium</t>
        </is>
      </c>
      <c r="G41" t="inlineStr">
        <is>
          <t>2026-09-25</t>
        </is>
      </c>
      <c r="H41" t="inlineStr">
        <is>
          <t>Open</t>
        </is>
      </c>
      <c r="I41" t="inlineStr">
        <is>
          <t>Update missing content</t>
        </is>
      </c>
    </row>
    <row r="42">
      <c r="A42" t="inlineStr">
        <is>
          <t>ISS041</t>
        </is>
      </c>
      <c r="B42" t="inlineStr">
        <is>
          <t>SKU048</t>
        </is>
      </c>
      <c r="C42" t="inlineStr">
        <is>
          <t>Aurelia Care Lip Balm</t>
        </is>
      </c>
      <c r="D42" t="inlineStr">
        <is>
          <t>Availability Issue</t>
        </is>
      </c>
      <c r="E42" t="inlineStr">
        <is>
          <t>Product is out of stock</t>
        </is>
      </c>
      <c r="F42" t="inlineStr">
        <is>
          <t>High</t>
        </is>
      </c>
      <c r="G42" t="inlineStr">
        <is>
          <t>2026-09-25</t>
        </is>
      </c>
      <c r="H42" t="inlineStr">
        <is>
          <t>In Progress</t>
        </is>
      </c>
      <c r="I42" t="inlineStr">
        <is>
          <t>Check inventory availability</t>
        </is>
      </c>
    </row>
    <row r="43">
      <c r="A43" t="inlineStr">
        <is>
          <t>ISS042</t>
        </is>
      </c>
      <c r="B43" t="inlineStr">
        <is>
          <t>SKU049</t>
        </is>
      </c>
      <c r="C43" t="inlineStr">
        <is>
          <t>SkinPure Cleanser</t>
        </is>
      </c>
      <c r="D43" t="inlineStr">
        <is>
          <t>Availability Issue</t>
        </is>
      </c>
      <c r="E43" t="inlineStr">
        <is>
          <t>Product is out of stock</t>
        </is>
      </c>
      <c r="F43" t="inlineStr">
        <is>
          <t>High</t>
        </is>
      </c>
      <c r="G43" t="inlineStr">
        <is>
          <t>2026-09-25</t>
        </is>
      </c>
      <c r="H43" t="inlineStr">
        <is>
          <t>Open</t>
        </is>
      </c>
      <c r="I43" t="inlineStr">
        <is>
          <t>Check inventory availability</t>
        </is>
      </c>
    </row>
    <row r="44">
      <c r="A44" t="inlineStr">
        <is>
          <t>ISS043</t>
        </is>
      </c>
      <c r="B44" t="inlineStr">
        <is>
          <t>SKU050</t>
        </is>
      </c>
      <c r="C44" t="inlineStr">
        <is>
          <t>SkinPure Eye Cream</t>
        </is>
      </c>
      <c r="D44" t="inlineStr">
        <is>
          <t>Content Issue</t>
        </is>
      </c>
      <c r="E44" t="inlineStr">
        <is>
          <t>One or more listing content fields are incomplete</t>
        </is>
      </c>
      <c r="F44" t="inlineStr">
        <is>
          <t>Medium</t>
        </is>
      </c>
      <c r="G44" t="inlineStr">
        <is>
          <t>2026-09-25</t>
        </is>
      </c>
      <c r="H44" t="inlineStr">
        <is>
          <t>Resolved</t>
        </is>
      </c>
      <c r="I44" t="inlineStr">
        <is>
          <t>Update missing content</t>
        </is>
      </c>
      <c r="J44" t="inlineStr">
        <is>
          <t>2026-09-25</t>
        </is>
      </c>
    </row>
    <row r="45">
      <c r="A45" t="inlineStr">
        <is>
          <t>ISS044</t>
        </is>
      </c>
      <c r="B45" t="inlineStr">
        <is>
          <t>SKU052</t>
        </is>
      </c>
      <c r="C45" t="inlineStr">
        <is>
          <t>GlowLab Body Wash</t>
        </is>
      </c>
      <c r="D45" t="inlineStr">
        <is>
          <t>Listing Issue</t>
        </is>
      </c>
      <c r="E45" t="inlineStr">
        <is>
          <t>Listing is inactive or suppressed</t>
        </is>
      </c>
      <c r="F45" t="inlineStr">
        <is>
          <t>Medium</t>
        </is>
      </c>
      <c r="G45" t="inlineStr">
        <is>
          <t>2026-09-25</t>
        </is>
      </c>
      <c r="H45" t="inlineStr">
        <is>
          <t>Open</t>
        </is>
      </c>
      <c r="I45" t="inlineStr">
        <is>
          <t>Review listing/catalog suppression</t>
        </is>
      </c>
    </row>
    <row r="46">
      <c r="A46" t="inlineStr">
        <is>
          <t>ISS045</t>
        </is>
      </c>
      <c r="B46" t="inlineStr">
        <is>
          <t>SKU053</t>
        </is>
      </c>
      <c r="C46" t="inlineStr">
        <is>
          <t>DermaNest Sunscreen</t>
        </is>
      </c>
      <c r="D46" t="inlineStr">
        <is>
          <t>Content Issue</t>
        </is>
      </c>
      <c r="E46" t="inlineStr">
        <is>
          <t>One or more listing content fields are incomplete</t>
        </is>
      </c>
      <c r="F46" t="inlineStr">
        <is>
          <t>Medium</t>
        </is>
      </c>
      <c r="G46" t="inlineStr">
        <is>
          <t>2026-09-25</t>
        </is>
      </c>
      <c r="H46" t="inlineStr">
        <is>
          <t>In Progress</t>
        </is>
      </c>
      <c r="I46" t="inlineStr">
        <is>
          <t>Update missing content</t>
        </is>
      </c>
    </row>
    <row r="47">
      <c r="A47" t="inlineStr">
        <is>
          <t>ISS046</t>
        </is>
      </c>
      <c r="B47" t="inlineStr">
        <is>
          <t>SKU054</t>
        </is>
      </c>
      <c r="C47" t="inlineStr">
        <is>
          <t>DermaNest Lip Balm</t>
        </is>
      </c>
      <c r="D47" t="inlineStr">
        <is>
          <t>Content Issue</t>
        </is>
      </c>
      <c r="E47" t="inlineStr">
        <is>
          <t>One or more listing content fields are incomplete</t>
        </is>
      </c>
      <c r="F47" t="inlineStr">
        <is>
          <t>Medium</t>
        </is>
      </c>
      <c r="G47" t="inlineStr">
        <is>
          <t>2026-09-25</t>
        </is>
      </c>
      <c r="H47" t="inlineStr">
        <is>
          <t>Open</t>
        </is>
      </c>
      <c r="I47" t="inlineStr">
        <is>
          <t>Update missing content</t>
        </is>
      </c>
    </row>
    <row r="48">
      <c r="A48" t="inlineStr">
        <is>
          <t>ISS047</t>
        </is>
      </c>
      <c r="B48" t="inlineStr">
        <is>
          <t>SKU055</t>
        </is>
      </c>
      <c r="C48" t="inlineStr">
        <is>
          <t>DermaNest Hair Serum</t>
        </is>
      </c>
      <c r="D48" t="inlineStr">
        <is>
          <t>Content Issue</t>
        </is>
      </c>
      <c r="E48" t="inlineStr">
        <is>
          <t>One or more listing content fields are incomplete</t>
        </is>
      </c>
      <c r="F48" t="inlineStr">
        <is>
          <t>Medium</t>
        </is>
      </c>
      <c r="G48" t="inlineStr">
        <is>
          <t>2026-09-25</t>
        </is>
      </c>
      <c r="H48" t="inlineStr">
        <is>
          <t>In Progress</t>
        </is>
      </c>
      <c r="I48" t="inlineStr">
        <is>
          <t>Update missing content</t>
        </is>
      </c>
    </row>
    <row r="49">
      <c r="A49" t="inlineStr">
        <is>
          <t>ISS048</t>
        </is>
      </c>
      <c r="B49" t="inlineStr">
        <is>
          <t>SKU056</t>
        </is>
      </c>
      <c r="C49" t="inlineStr">
        <is>
          <t>GlowLab Face Wash</t>
        </is>
      </c>
      <c r="D49" t="inlineStr">
        <is>
          <t>Rating Issue</t>
        </is>
      </c>
      <c r="E49" t="inlineStr">
        <is>
          <t>Rating is below 3.8</t>
        </is>
      </c>
      <c r="F49" t="inlineStr">
        <is>
          <t>Medium</t>
        </is>
      </c>
      <c r="G49" t="inlineStr">
        <is>
          <t>2026-09-25</t>
        </is>
      </c>
      <c r="H49" t="inlineStr">
        <is>
          <t>Resolved</t>
        </is>
      </c>
      <c r="I49" t="inlineStr">
        <is>
          <t>Review recurring customer feedback</t>
        </is>
      </c>
      <c r="J49" t="inlineStr">
        <is>
          <t>2026-09-25</t>
        </is>
      </c>
    </row>
    <row r="50">
      <c r="A50" t="inlineStr">
        <is>
          <t>ISS049</t>
        </is>
      </c>
      <c r="B50" t="inlineStr">
        <is>
          <t>SKU057</t>
        </is>
      </c>
      <c r="C50" t="inlineStr">
        <is>
          <t>DermaNest Moisturizer</t>
        </is>
      </c>
      <c r="D50" t="inlineStr">
        <is>
          <t>Content Issue</t>
        </is>
      </c>
      <c r="E50" t="inlineStr">
        <is>
          <t>One or more listing content fields are incomplete</t>
        </is>
      </c>
      <c r="F50" t="inlineStr">
        <is>
          <t>Medium</t>
        </is>
      </c>
      <c r="G50" t="inlineStr">
        <is>
          <t>2026-09-25</t>
        </is>
      </c>
      <c r="H50" t="inlineStr">
        <is>
          <t>Resolved</t>
        </is>
      </c>
      <c r="I50" t="inlineStr">
        <is>
          <t>Update missing content</t>
        </is>
      </c>
      <c r="J50" t="inlineStr">
        <is>
          <t>2026-09-25</t>
        </is>
      </c>
    </row>
    <row r="51">
      <c r="A51" t="inlineStr">
        <is>
          <t>ISS050</t>
        </is>
      </c>
      <c r="B51" t="inlineStr">
        <is>
          <t>SKU058</t>
        </is>
      </c>
      <c r="C51" t="inlineStr">
        <is>
          <t>Aurelia Care Niacinamide Serum</t>
        </is>
      </c>
      <c r="D51" t="inlineStr">
        <is>
          <t>Content Issue</t>
        </is>
      </c>
      <c r="E51" t="inlineStr">
        <is>
          <t>One or more listing content fields are incomplete</t>
        </is>
      </c>
      <c r="F51" t="inlineStr">
        <is>
          <t>Medium</t>
        </is>
      </c>
      <c r="G51" t="inlineStr">
        <is>
          <t>2026-09-25</t>
        </is>
      </c>
      <c r="H51" t="inlineStr">
        <is>
          <t>In Progress</t>
        </is>
      </c>
      <c r="I51" t="inlineStr">
        <is>
          <t>Update missing content</t>
        </is>
      </c>
    </row>
    <row r="52">
      <c r="A52" t="inlineStr">
        <is>
          <t>ISS051</t>
        </is>
      </c>
      <c r="B52" t="inlineStr">
        <is>
          <t>SKU059</t>
        </is>
      </c>
      <c r="C52" t="inlineStr">
        <is>
          <t>GlowLab Eye Cream</t>
        </is>
      </c>
      <c r="D52" t="inlineStr">
        <is>
          <t>Listing Issue</t>
        </is>
      </c>
      <c r="E52" t="inlineStr">
        <is>
          <t>Listing is inactive or suppressed</t>
        </is>
      </c>
      <c r="F52" t="inlineStr">
        <is>
          <t>High</t>
        </is>
      </c>
      <c r="G52" t="inlineStr">
        <is>
          <t>2026-09-25</t>
        </is>
      </c>
      <c r="H52" t="inlineStr">
        <is>
          <t>Open</t>
        </is>
      </c>
      <c r="I52" t="inlineStr">
        <is>
          <t>Review listing/catalog suppression</t>
        </is>
      </c>
    </row>
    <row r="53">
      <c r="A53" t="inlineStr">
        <is>
          <t>ISS052</t>
        </is>
      </c>
      <c r="B53" t="inlineStr">
        <is>
          <t>SKU060</t>
        </is>
      </c>
      <c r="C53" t="inlineStr">
        <is>
          <t>SkinPure Niacinamide Serum</t>
        </is>
      </c>
      <c r="D53" t="inlineStr">
        <is>
          <t>Content Issue</t>
        </is>
      </c>
      <c r="E53" t="inlineStr">
        <is>
          <t>One or more listing content fields are incomplete</t>
        </is>
      </c>
      <c r="F53" t="inlineStr">
        <is>
          <t>Medium</t>
        </is>
      </c>
      <c r="G53" t="inlineStr">
        <is>
          <t>2026-09-25</t>
        </is>
      </c>
      <c r="H53" t="inlineStr">
        <is>
          <t>Open</t>
        </is>
      </c>
      <c r="I53" t="inlineStr">
        <is>
          <t>Update missing content</t>
        </is>
      </c>
    </row>
    <row r="54">
      <c r="A54" t="inlineStr">
        <is>
          <t>ISS053</t>
        </is>
      </c>
      <c r="B54" t="inlineStr">
        <is>
          <t>SKU061</t>
        </is>
      </c>
      <c r="C54" t="inlineStr">
        <is>
          <t>DermaNest Body Wash</t>
        </is>
      </c>
      <c r="D54" t="inlineStr">
        <is>
          <t>Content Issue</t>
        </is>
      </c>
      <c r="E54" t="inlineStr">
        <is>
          <t>One or more listing content fields are incomplete</t>
        </is>
      </c>
      <c r="F54" t="inlineStr">
        <is>
          <t>Medium</t>
        </is>
      </c>
      <c r="G54" t="inlineStr">
        <is>
          <t>2026-09-25</t>
        </is>
      </c>
      <c r="H54" t="inlineStr">
        <is>
          <t>Open</t>
        </is>
      </c>
      <c r="I54" t="inlineStr">
        <is>
          <t>Update missing content</t>
        </is>
      </c>
    </row>
    <row r="55">
      <c r="A55" t="inlineStr">
        <is>
          <t>ISS054</t>
        </is>
      </c>
      <c r="B55" t="inlineStr">
        <is>
          <t>SKU062</t>
        </is>
      </c>
      <c r="C55" t="inlineStr">
        <is>
          <t>DermaGlow Moisturizer</t>
        </is>
      </c>
      <c r="D55" t="inlineStr">
        <is>
          <t>Content Issue</t>
        </is>
      </c>
      <c r="E55" t="inlineStr">
        <is>
          <t>One or more listing content fields are incomplete</t>
        </is>
      </c>
      <c r="F55" t="inlineStr">
        <is>
          <t>Medium</t>
        </is>
      </c>
      <c r="G55" t="inlineStr">
        <is>
          <t>2026-09-25</t>
        </is>
      </c>
      <c r="H55" t="inlineStr">
        <is>
          <t>In Progress</t>
        </is>
      </c>
      <c r="I55" t="inlineStr">
        <is>
          <t>Update missing content</t>
        </is>
      </c>
    </row>
    <row r="56">
      <c r="A56" t="inlineStr">
        <is>
          <t>ISS055</t>
        </is>
      </c>
      <c r="B56" t="inlineStr">
        <is>
          <t>SKU063</t>
        </is>
      </c>
      <c r="C56" t="inlineStr">
        <is>
          <t>GlowLab Face Wash</t>
        </is>
      </c>
      <c r="D56" t="inlineStr">
        <is>
          <t>Rating Issue</t>
        </is>
      </c>
      <c r="E56" t="inlineStr">
        <is>
          <t>Rating is below 3.8</t>
        </is>
      </c>
      <c r="F56" t="inlineStr">
        <is>
          <t>Medium</t>
        </is>
      </c>
      <c r="G56" t="inlineStr">
        <is>
          <t>2026-09-25</t>
        </is>
      </c>
      <c r="H56" t="inlineStr">
        <is>
          <t>In Progress</t>
        </is>
      </c>
      <c r="I56" t="inlineStr">
        <is>
          <t>Review recurring customer feedback</t>
        </is>
      </c>
    </row>
    <row r="57">
      <c r="A57" t="inlineStr">
        <is>
          <t>ISS056</t>
        </is>
      </c>
      <c r="B57" t="inlineStr">
        <is>
          <t>SKU064</t>
        </is>
      </c>
      <c r="C57" t="inlineStr">
        <is>
          <t>GlowLab Shampoo</t>
        </is>
      </c>
      <c r="D57" t="inlineStr">
        <is>
          <t>Rating Issue</t>
        </is>
      </c>
      <c r="E57" t="inlineStr">
        <is>
          <t>Rating is below 3.8</t>
        </is>
      </c>
      <c r="F57" t="inlineStr">
        <is>
          <t>Medium</t>
        </is>
      </c>
      <c r="G57" t="inlineStr">
        <is>
          <t>2026-09-25</t>
        </is>
      </c>
      <c r="H57" t="inlineStr">
        <is>
          <t>Open</t>
        </is>
      </c>
      <c r="I57" t="inlineStr">
        <is>
          <t>Review recurring customer feedback</t>
        </is>
      </c>
    </row>
    <row r="58">
      <c r="A58" t="inlineStr">
        <is>
          <t>ISS057</t>
        </is>
      </c>
      <c r="B58" t="inlineStr">
        <is>
          <t>SKU065</t>
        </is>
      </c>
      <c r="C58" t="inlineStr">
        <is>
          <t>SkinPure Eye Cream</t>
        </is>
      </c>
      <c r="D58" t="inlineStr">
        <is>
          <t>Availability Issue</t>
        </is>
      </c>
      <c r="E58" t="inlineStr">
        <is>
          <t>Product is out of stock</t>
        </is>
      </c>
      <c r="F58" t="inlineStr">
        <is>
          <t>High</t>
        </is>
      </c>
      <c r="G58" t="inlineStr">
        <is>
          <t>2026-09-25</t>
        </is>
      </c>
      <c r="H58" t="inlineStr">
        <is>
          <t>In Progress</t>
        </is>
      </c>
      <c r="I58" t="inlineStr">
        <is>
          <t>Check inventory availability</t>
        </is>
      </c>
    </row>
    <row r="59">
      <c r="A59" t="inlineStr">
        <is>
          <t>ISS058</t>
        </is>
      </c>
      <c r="B59" t="inlineStr">
        <is>
          <t>SKU066</t>
        </is>
      </c>
      <c r="C59" t="inlineStr">
        <is>
          <t>Aurelia Care Eye Cream</t>
        </is>
      </c>
      <c r="D59" t="inlineStr">
        <is>
          <t>Availability Issue</t>
        </is>
      </c>
      <c r="E59" t="inlineStr">
        <is>
          <t>Product is out of stock</t>
        </is>
      </c>
      <c r="F59" t="inlineStr">
        <is>
          <t>High</t>
        </is>
      </c>
      <c r="G59" t="inlineStr">
        <is>
          <t>2026-09-25</t>
        </is>
      </c>
      <c r="H59" t="inlineStr">
        <is>
          <t>In Progress</t>
        </is>
      </c>
      <c r="I59" t="inlineStr">
        <is>
          <t>Check inventory availability</t>
        </is>
      </c>
    </row>
    <row r="60">
      <c r="A60" t="inlineStr">
        <is>
          <t>ISS059</t>
        </is>
      </c>
      <c r="B60" t="inlineStr">
        <is>
          <t>SKU067</t>
        </is>
      </c>
      <c r="C60" t="inlineStr">
        <is>
          <t>GlowLab Cleanser</t>
        </is>
      </c>
      <c r="D60" t="inlineStr">
        <is>
          <t>Listing Issue</t>
        </is>
      </c>
      <c r="E60" t="inlineStr">
        <is>
          <t>Listing is inactive or suppressed</t>
        </is>
      </c>
      <c r="F60" t="inlineStr">
        <is>
          <t>High</t>
        </is>
      </c>
      <c r="G60" t="inlineStr">
        <is>
          <t>2026-09-25</t>
        </is>
      </c>
      <c r="H60" t="inlineStr">
        <is>
          <t>In Progress</t>
        </is>
      </c>
      <c r="I60" t="inlineStr">
        <is>
          <t>Review listing/catalog suppression</t>
        </is>
      </c>
    </row>
    <row r="61">
      <c r="A61" t="inlineStr">
        <is>
          <t>ISS060</t>
        </is>
      </c>
      <c r="B61" t="inlineStr">
        <is>
          <t>SKU068</t>
        </is>
      </c>
      <c r="C61" t="inlineStr">
        <is>
          <t>SkinPure Conditioner</t>
        </is>
      </c>
      <c r="D61" t="inlineStr">
        <is>
          <t>Listing Issue</t>
        </is>
      </c>
      <c r="E61" t="inlineStr">
        <is>
          <t>Listing is inactive or suppressed</t>
        </is>
      </c>
      <c r="F61" t="inlineStr">
        <is>
          <t>High</t>
        </is>
      </c>
      <c r="G61" t="inlineStr">
        <is>
          <t>2026-09-25</t>
        </is>
      </c>
      <c r="H61" t="inlineStr">
        <is>
          <t>Open</t>
        </is>
      </c>
      <c r="I61" t="inlineStr">
        <is>
          <t>Review listing/catalog suppression</t>
        </is>
      </c>
    </row>
    <row r="62">
      <c r="A62" t="inlineStr">
        <is>
          <t>ISS061</t>
        </is>
      </c>
      <c r="B62" t="inlineStr">
        <is>
          <t>SKU069</t>
        </is>
      </c>
      <c r="C62" t="inlineStr">
        <is>
          <t>DermaGlow Cleanser</t>
        </is>
      </c>
      <c r="D62" t="inlineStr">
        <is>
          <t>Availability Issue</t>
        </is>
      </c>
      <c r="E62" t="inlineStr">
        <is>
          <t>Product is out of stock</t>
        </is>
      </c>
      <c r="F62" t="inlineStr">
        <is>
          <t>High</t>
        </is>
      </c>
      <c r="G62" t="inlineStr">
        <is>
          <t>2026-09-25</t>
        </is>
      </c>
      <c r="H62" t="inlineStr">
        <is>
          <t>Resolved</t>
        </is>
      </c>
      <c r="I62" t="inlineStr">
        <is>
          <t>Check inventory availability</t>
        </is>
      </c>
      <c r="J62" t="inlineStr">
        <is>
          <t>2026-09-25</t>
        </is>
      </c>
    </row>
    <row r="63">
      <c r="A63" t="inlineStr">
        <is>
          <t>ISS062</t>
        </is>
      </c>
      <c r="B63" t="inlineStr">
        <is>
          <t>SKU071</t>
        </is>
      </c>
      <c r="C63" t="inlineStr">
        <is>
          <t>DermaGlow Conditioner</t>
        </is>
      </c>
      <c r="D63" t="inlineStr">
        <is>
          <t>Listing Issue</t>
        </is>
      </c>
      <c r="E63" t="inlineStr">
        <is>
          <t>Listing is inactive or suppressed</t>
        </is>
      </c>
      <c r="F63" t="inlineStr">
        <is>
          <t>High</t>
        </is>
      </c>
      <c r="G63" t="inlineStr">
        <is>
          <t>2026-09-25</t>
        </is>
      </c>
      <c r="H63" t="inlineStr">
        <is>
          <t>Open</t>
        </is>
      </c>
      <c r="I63" t="inlineStr">
        <is>
          <t>Review listing/catalog suppression</t>
        </is>
      </c>
    </row>
    <row r="64">
      <c r="A64" t="inlineStr">
        <is>
          <t>ISS063</t>
        </is>
      </c>
      <c r="B64" t="inlineStr">
        <is>
          <t>SKU072</t>
        </is>
      </c>
      <c r="C64" t="inlineStr">
        <is>
          <t>GlowLab Niacinamide Serum</t>
        </is>
      </c>
      <c r="D64" t="inlineStr">
        <is>
          <t>Availability Issue</t>
        </is>
      </c>
      <c r="E64" t="inlineStr">
        <is>
          <t>Product is out of stock</t>
        </is>
      </c>
      <c r="F64" t="inlineStr">
        <is>
          <t>High</t>
        </is>
      </c>
      <c r="G64" t="inlineStr">
        <is>
          <t>2026-09-25</t>
        </is>
      </c>
      <c r="H64" t="inlineStr">
        <is>
          <t>In Progress</t>
        </is>
      </c>
      <c r="I64" t="inlineStr">
        <is>
          <t>Check inventory availability</t>
        </is>
      </c>
    </row>
    <row r="65">
      <c r="A65" t="inlineStr">
        <is>
          <t>ISS064</t>
        </is>
      </c>
      <c r="B65" t="inlineStr">
        <is>
          <t>SKU073</t>
        </is>
      </c>
      <c r="C65" t="inlineStr">
        <is>
          <t>GlowLab Niacinamide Serum</t>
        </is>
      </c>
      <c r="D65" t="inlineStr">
        <is>
          <t>Listing Issue</t>
        </is>
      </c>
      <c r="E65" t="inlineStr">
        <is>
          <t>Listing is inactive or suppressed</t>
        </is>
      </c>
      <c r="F65" t="inlineStr">
        <is>
          <t>High</t>
        </is>
      </c>
      <c r="G65" t="inlineStr">
        <is>
          <t>2026-09-25</t>
        </is>
      </c>
      <c r="H65" t="inlineStr">
        <is>
          <t>Open</t>
        </is>
      </c>
      <c r="I65" t="inlineStr">
        <is>
          <t>Review listing/catalog suppression</t>
        </is>
      </c>
    </row>
    <row r="66">
      <c r="A66" t="inlineStr">
        <is>
          <t>ISS065</t>
        </is>
      </c>
      <c r="B66" t="inlineStr">
        <is>
          <t>SKU075</t>
        </is>
      </c>
      <c r="C66" t="inlineStr">
        <is>
          <t>GlowLab Lip Balm</t>
        </is>
      </c>
      <c r="D66" t="inlineStr">
        <is>
          <t>Content Issue</t>
        </is>
      </c>
      <c r="E66" t="inlineStr">
        <is>
          <t>One or more listing content fields are incomplete</t>
        </is>
      </c>
      <c r="F66" t="inlineStr">
        <is>
          <t>Medium</t>
        </is>
      </c>
      <c r="G66" t="inlineStr">
        <is>
          <t>2026-09-25</t>
        </is>
      </c>
      <c r="H66" t="inlineStr">
        <is>
          <t>In Progress</t>
        </is>
      </c>
      <c r="I66" t="inlineStr">
        <is>
          <t>Update missing content</t>
        </is>
      </c>
    </row>
    <row r="67">
      <c r="A67" t="inlineStr">
        <is>
          <t>ISS066</t>
        </is>
      </c>
      <c r="B67" t="inlineStr">
        <is>
          <t>SKU076</t>
        </is>
      </c>
      <c r="C67" t="inlineStr">
        <is>
          <t>DermaNest Body Wash</t>
        </is>
      </c>
      <c r="D67" t="inlineStr">
        <is>
          <t>Content Issue</t>
        </is>
      </c>
      <c r="E67" t="inlineStr">
        <is>
          <t>One or more listing content fields are incomplete</t>
        </is>
      </c>
      <c r="F67" t="inlineStr">
        <is>
          <t>Medium</t>
        </is>
      </c>
      <c r="G67" t="inlineStr">
        <is>
          <t>2026-09-25</t>
        </is>
      </c>
      <c r="H67" t="inlineStr">
        <is>
          <t>In Progress</t>
        </is>
      </c>
      <c r="I67" t="inlineStr">
        <is>
          <t>Update missing content</t>
        </is>
      </c>
    </row>
    <row r="68">
      <c r="A68" t="inlineStr">
        <is>
          <t>ISS067</t>
        </is>
      </c>
      <c r="B68" t="inlineStr">
        <is>
          <t>SKU077</t>
        </is>
      </c>
      <c r="C68" t="inlineStr">
        <is>
          <t>SkinPure Face Wash</t>
        </is>
      </c>
      <c r="D68" t="inlineStr">
        <is>
          <t>Listing Issue</t>
        </is>
      </c>
      <c r="E68" t="inlineStr">
        <is>
          <t>Listing is inactive or suppressed</t>
        </is>
      </c>
      <c r="F68" t="inlineStr">
        <is>
          <t>High</t>
        </is>
      </c>
      <c r="G68" t="inlineStr">
        <is>
          <t>2026-09-25</t>
        </is>
      </c>
      <c r="H68" t="inlineStr">
        <is>
          <t>In Progress</t>
        </is>
      </c>
      <c r="I68" t="inlineStr">
        <is>
          <t>Review listing/catalog suppression</t>
        </is>
      </c>
    </row>
    <row r="69">
      <c r="A69" t="inlineStr">
        <is>
          <t>ISS068</t>
        </is>
      </c>
      <c r="B69" t="inlineStr">
        <is>
          <t>SKU079</t>
        </is>
      </c>
      <c r="C69" t="inlineStr">
        <is>
          <t>DermaNest Cleanser</t>
        </is>
      </c>
      <c r="D69" t="inlineStr">
        <is>
          <t>Content Issue</t>
        </is>
      </c>
      <c r="E69" t="inlineStr">
        <is>
          <t>One or more listing content fields are incomplete</t>
        </is>
      </c>
      <c r="F69" t="inlineStr">
        <is>
          <t>Medium</t>
        </is>
      </c>
      <c r="G69" t="inlineStr">
        <is>
          <t>2026-09-25</t>
        </is>
      </c>
      <c r="H69" t="inlineStr">
        <is>
          <t>Open</t>
        </is>
      </c>
      <c r="I69" t="inlineStr">
        <is>
          <t>Update missing content</t>
        </is>
      </c>
    </row>
    <row r="70">
      <c r="A70" t="inlineStr">
        <is>
          <t>ISS069</t>
        </is>
      </c>
      <c r="B70" t="inlineStr">
        <is>
          <t>SKU080</t>
        </is>
      </c>
      <c r="C70" t="inlineStr">
        <is>
          <t>DermaGlow Shampoo</t>
        </is>
      </c>
      <c r="D70" t="inlineStr">
        <is>
          <t>Listing Issue</t>
        </is>
      </c>
      <c r="E70" t="inlineStr">
        <is>
          <t>Listing is inactive or suppressed</t>
        </is>
      </c>
      <c r="F70" t="inlineStr">
        <is>
          <t>High</t>
        </is>
      </c>
      <c r="G70" t="inlineStr">
        <is>
          <t>2026-09-25</t>
        </is>
      </c>
      <c r="H70" t="inlineStr">
        <is>
          <t>In Progress</t>
        </is>
      </c>
      <c r="I70" t="inlineStr">
        <is>
          <t>Review listing/catalog suppression</t>
        </is>
      </c>
    </row>
    <row r="71">
      <c r="A71" t="inlineStr">
        <is>
          <t>ISS070</t>
        </is>
      </c>
      <c r="B71" t="inlineStr">
        <is>
          <t>SKU081</t>
        </is>
      </c>
      <c r="C71" t="inlineStr">
        <is>
          <t>SkinPure Hair Serum</t>
        </is>
      </c>
      <c r="D71" t="inlineStr">
        <is>
          <t>Content Issue</t>
        </is>
      </c>
      <c r="E71" t="inlineStr">
        <is>
          <t>One or more listing content fields are incomplete</t>
        </is>
      </c>
      <c r="F71" t="inlineStr">
        <is>
          <t>Medium</t>
        </is>
      </c>
      <c r="G71" t="inlineStr">
        <is>
          <t>2026-09-25</t>
        </is>
      </c>
      <c r="H71" t="inlineStr">
        <is>
          <t>In Progress</t>
        </is>
      </c>
      <c r="I71" t="inlineStr">
        <is>
          <t>Update missing content</t>
        </is>
      </c>
    </row>
    <row r="72">
      <c r="A72" t="inlineStr">
        <is>
          <t>ISS071</t>
        </is>
      </c>
      <c r="B72" t="inlineStr">
        <is>
          <t>SKU082</t>
        </is>
      </c>
      <c r="C72" t="inlineStr">
        <is>
          <t>DermaNest Face Wash</t>
        </is>
      </c>
      <c r="D72" t="inlineStr">
        <is>
          <t>Availability Issue</t>
        </is>
      </c>
      <c r="E72" t="inlineStr">
        <is>
          <t>Product is out of stock</t>
        </is>
      </c>
      <c r="F72" t="inlineStr">
        <is>
          <t>High</t>
        </is>
      </c>
      <c r="G72" t="inlineStr">
        <is>
          <t>2026-09-25</t>
        </is>
      </c>
      <c r="H72" t="inlineStr">
        <is>
          <t>Open</t>
        </is>
      </c>
      <c r="I72" t="inlineStr">
        <is>
          <t>Check inventory availability</t>
        </is>
      </c>
    </row>
    <row r="73">
      <c r="A73" t="inlineStr">
        <is>
          <t>ISS072</t>
        </is>
      </c>
      <c r="B73" t="inlineStr">
        <is>
          <t>SKU083</t>
        </is>
      </c>
      <c r="C73" t="inlineStr">
        <is>
          <t>SkinPure Niacinamide Serum</t>
        </is>
      </c>
      <c r="D73" t="inlineStr">
        <is>
          <t>Content Issue</t>
        </is>
      </c>
      <c r="E73" t="inlineStr">
        <is>
          <t>One or more listing content fields are incomplete</t>
        </is>
      </c>
      <c r="F73" t="inlineStr">
        <is>
          <t>Medium</t>
        </is>
      </c>
      <c r="G73" t="inlineStr">
        <is>
          <t>2026-09-25</t>
        </is>
      </c>
      <c r="H73" t="inlineStr">
        <is>
          <t>Open</t>
        </is>
      </c>
      <c r="I73" t="inlineStr">
        <is>
          <t>Update missing content</t>
        </is>
      </c>
    </row>
    <row r="74">
      <c r="A74" t="inlineStr">
        <is>
          <t>ISS073</t>
        </is>
      </c>
      <c r="B74" t="inlineStr">
        <is>
          <t>SKU084</t>
        </is>
      </c>
      <c r="C74" t="inlineStr">
        <is>
          <t>DermaGlow Niacinamide Serum</t>
        </is>
      </c>
      <c r="D74" t="inlineStr">
        <is>
          <t>Listing Issue</t>
        </is>
      </c>
      <c r="E74" t="inlineStr">
        <is>
          <t>Listing is inactive or suppressed</t>
        </is>
      </c>
      <c r="F74" t="inlineStr">
        <is>
          <t>High</t>
        </is>
      </c>
      <c r="G74" t="inlineStr">
        <is>
          <t>2026-09-25</t>
        </is>
      </c>
      <c r="H74" t="inlineStr">
        <is>
          <t>Open</t>
        </is>
      </c>
      <c r="I74" t="inlineStr">
        <is>
          <t>Review listing/catalog suppression</t>
        </is>
      </c>
    </row>
    <row r="75">
      <c r="A75" t="inlineStr">
        <is>
          <t>ISS074</t>
        </is>
      </c>
      <c r="B75" t="inlineStr">
        <is>
          <t>SKU085</t>
        </is>
      </c>
      <c r="C75" t="inlineStr">
        <is>
          <t>SkinPure Hair Serum</t>
        </is>
      </c>
      <c r="D75" t="inlineStr">
        <is>
          <t>Availability Issue</t>
        </is>
      </c>
      <c r="E75" t="inlineStr">
        <is>
          <t>Product is out of stock</t>
        </is>
      </c>
      <c r="F75" t="inlineStr">
        <is>
          <t>High</t>
        </is>
      </c>
      <c r="G75" t="inlineStr">
        <is>
          <t>2026-09-25</t>
        </is>
      </c>
      <c r="H75" t="inlineStr">
        <is>
          <t>Open</t>
        </is>
      </c>
      <c r="I75" t="inlineStr">
        <is>
          <t>Check inventory availability</t>
        </is>
      </c>
    </row>
    <row r="76">
      <c r="A76" t="inlineStr">
        <is>
          <t>ISS075</t>
        </is>
      </c>
      <c r="B76" t="inlineStr">
        <is>
          <t>SKU087</t>
        </is>
      </c>
      <c r="C76" t="inlineStr">
        <is>
          <t>DermaNest Hand Cream</t>
        </is>
      </c>
      <c r="D76" t="inlineStr">
        <is>
          <t>Listing Issue</t>
        </is>
      </c>
      <c r="E76" t="inlineStr">
        <is>
          <t>Listing is inactive or suppressed</t>
        </is>
      </c>
      <c r="F76" t="inlineStr">
        <is>
          <t>High</t>
        </is>
      </c>
      <c r="G76" t="inlineStr">
        <is>
          <t>2026-09-25</t>
        </is>
      </c>
      <c r="H76" t="inlineStr">
        <is>
          <t>Open</t>
        </is>
      </c>
      <c r="I76" t="inlineStr">
        <is>
          <t>Review listing/catalog suppression</t>
        </is>
      </c>
    </row>
    <row r="77">
      <c r="A77" t="inlineStr">
        <is>
          <t>ISS076</t>
        </is>
      </c>
      <c r="B77" t="inlineStr">
        <is>
          <t>SKU088</t>
        </is>
      </c>
      <c r="C77" t="inlineStr">
        <is>
          <t>GlowLab Body Wash</t>
        </is>
      </c>
      <c r="D77" t="inlineStr">
        <is>
          <t>Rating Issue</t>
        </is>
      </c>
      <c r="E77" t="inlineStr">
        <is>
          <t>Rating is below 3.8</t>
        </is>
      </c>
      <c r="F77" t="inlineStr">
        <is>
          <t>Medium</t>
        </is>
      </c>
      <c r="G77" t="inlineStr">
        <is>
          <t>2026-09-25</t>
        </is>
      </c>
      <c r="H77" t="inlineStr">
        <is>
          <t>Open</t>
        </is>
      </c>
      <c r="I77" t="inlineStr">
        <is>
          <t>Review recurring customer feedback</t>
        </is>
      </c>
    </row>
    <row r="78">
      <c r="A78" t="inlineStr">
        <is>
          <t>ISS077</t>
        </is>
      </c>
      <c r="B78" t="inlineStr">
        <is>
          <t>SKU089</t>
        </is>
      </c>
      <c r="C78" t="inlineStr">
        <is>
          <t>DermaGlow Cleanser</t>
        </is>
      </c>
      <c r="D78" t="inlineStr">
        <is>
          <t>Availability Issue</t>
        </is>
      </c>
      <c r="E78" t="inlineStr">
        <is>
          <t>Product is out of stock</t>
        </is>
      </c>
      <c r="F78" t="inlineStr">
        <is>
          <t>High</t>
        </is>
      </c>
      <c r="G78" t="inlineStr">
        <is>
          <t>2026-09-25</t>
        </is>
      </c>
      <c r="H78" t="inlineStr">
        <is>
          <t>Open</t>
        </is>
      </c>
      <c r="I78" t="inlineStr">
        <is>
          <t>Check inventory availability</t>
        </is>
      </c>
    </row>
    <row r="79">
      <c r="A79" t="inlineStr">
        <is>
          <t>ISS078</t>
        </is>
      </c>
      <c r="B79" t="inlineStr">
        <is>
          <t>SKU090</t>
        </is>
      </c>
      <c r="C79" t="inlineStr">
        <is>
          <t>Aurelia Care Shampoo</t>
        </is>
      </c>
      <c r="D79" t="inlineStr">
        <is>
          <t>Content Issue</t>
        </is>
      </c>
      <c r="E79" t="inlineStr">
        <is>
          <t>One or more listing content fields are incomplete</t>
        </is>
      </c>
      <c r="F79" t="inlineStr">
        <is>
          <t>Medium</t>
        </is>
      </c>
      <c r="G79" t="inlineStr">
        <is>
          <t>2026-09-25</t>
        </is>
      </c>
      <c r="H79" t="inlineStr">
        <is>
          <t>Resolved</t>
        </is>
      </c>
      <c r="I79" t="inlineStr">
        <is>
          <t>Update missing content</t>
        </is>
      </c>
      <c r="J79" t="inlineStr">
        <is>
          <t>2026-09-25</t>
        </is>
      </c>
    </row>
    <row r="80">
      <c r="A80" t="inlineStr">
        <is>
          <t>ISS079</t>
        </is>
      </c>
      <c r="B80" t="inlineStr">
        <is>
          <t>SKU091</t>
        </is>
      </c>
      <c r="C80" t="inlineStr">
        <is>
          <t>GlowLab Cleanser</t>
        </is>
      </c>
      <c r="D80" t="inlineStr">
        <is>
          <t>Listing Issue</t>
        </is>
      </c>
      <c r="E80" t="inlineStr">
        <is>
          <t>Listing is inactive or suppressed</t>
        </is>
      </c>
      <c r="F80" t="inlineStr">
        <is>
          <t>High</t>
        </is>
      </c>
      <c r="G80" t="inlineStr">
        <is>
          <t>2026-09-25</t>
        </is>
      </c>
      <c r="H80" t="inlineStr">
        <is>
          <t>Open</t>
        </is>
      </c>
      <c r="I80" t="inlineStr">
        <is>
          <t>Review listing/catalog suppression</t>
        </is>
      </c>
    </row>
    <row r="81">
      <c r="A81" t="inlineStr">
        <is>
          <t>ISS080</t>
        </is>
      </c>
      <c r="B81" t="inlineStr">
        <is>
          <t>SKU092</t>
        </is>
      </c>
      <c r="C81" t="inlineStr">
        <is>
          <t>SkinPure Lip Balm</t>
        </is>
      </c>
      <c r="D81" t="inlineStr">
        <is>
          <t>Availability Issue</t>
        </is>
      </c>
      <c r="E81" t="inlineStr">
        <is>
          <t>Product is out of stock</t>
        </is>
      </c>
      <c r="F81" t="inlineStr">
        <is>
          <t>High</t>
        </is>
      </c>
      <c r="G81" t="inlineStr">
        <is>
          <t>2026-09-25</t>
        </is>
      </c>
      <c r="H81" t="inlineStr">
        <is>
          <t>In Progress</t>
        </is>
      </c>
      <c r="I81" t="inlineStr">
        <is>
          <t>Check inventory availability</t>
        </is>
      </c>
    </row>
    <row r="82">
      <c r="A82" t="inlineStr">
        <is>
          <t>ISS081</t>
        </is>
      </c>
      <c r="B82" t="inlineStr">
        <is>
          <t>SKU093</t>
        </is>
      </c>
      <c r="C82" t="inlineStr">
        <is>
          <t>DermaGlow Lip Balm</t>
        </is>
      </c>
      <c r="D82" t="inlineStr">
        <is>
          <t>Content Issue</t>
        </is>
      </c>
      <c r="E82" t="inlineStr">
        <is>
          <t>One or more listing content fields are incomplete</t>
        </is>
      </c>
      <c r="F82" t="inlineStr">
        <is>
          <t>Medium</t>
        </is>
      </c>
      <c r="G82" t="inlineStr">
        <is>
          <t>2026-09-25</t>
        </is>
      </c>
      <c r="H82" t="inlineStr">
        <is>
          <t>Resolved</t>
        </is>
      </c>
      <c r="I82" t="inlineStr">
        <is>
          <t>Update missing content</t>
        </is>
      </c>
      <c r="J82" t="inlineStr">
        <is>
          <t>2026-09-25</t>
        </is>
      </c>
    </row>
    <row r="83">
      <c r="A83" t="inlineStr">
        <is>
          <t>ISS082</t>
        </is>
      </c>
      <c r="B83" t="inlineStr">
        <is>
          <t>SKU094</t>
        </is>
      </c>
      <c r="C83" t="inlineStr">
        <is>
          <t>SkinPure Eye Cream</t>
        </is>
      </c>
      <c r="D83" t="inlineStr">
        <is>
          <t>Listing Issue</t>
        </is>
      </c>
      <c r="E83" t="inlineStr">
        <is>
          <t>Listing is inactive or suppressed</t>
        </is>
      </c>
      <c r="F83" t="inlineStr">
        <is>
          <t>High</t>
        </is>
      </c>
      <c r="G83" t="inlineStr">
        <is>
          <t>2026-09-25</t>
        </is>
      </c>
      <c r="H83" t="inlineStr">
        <is>
          <t>In Progress</t>
        </is>
      </c>
      <c r="I83" t="inlineStr">
        <is>
          <t>Review listing/catalog suppression</t>
        </is>
      </c>
    </row>
    <row r="84">
      <c r="A84" t="inlineStr">
        <is>
          <t>ISS083</t>
        </is>
      </c>
      <c r="B84" t="inlineStr">
        <is>
          <t>SKU095</t>
        </is>
      </c>
      <c r="C84" t="inlineStr">
        <is>
          <t>DermaGlow Body Wash</t>
        </is>
      </c>
      <c r="D84" t="inlineStr">
        <is>
          <t>Rating Issue</t>
        </is>
      </c>
      <c r="E84" t="inlineStr">
        <is>
          <t>Rating is below 3.8</t>
        </is>
      </c>
      <c r="F84" t="inlineStr">
        <is>
          <t>Medium</t>
        </is>
      </c>
      <c r="G84" t="inlineStr">
        <is>
          <t>2026-09-25</t>
        </is>
      </c>
      <c r="H84" t="inlineStr">
        <is>
          <t>Resolved</t>
        </is>
      </c>
      <c r="I84" t="inlineStr">
        <is>
          <t>Review recurring customer feedback</t>
        </is>
      </c>
      <c r="J84" t="inlineStr">
        <is>
          <t>2026-09-25</t>
        </is>
      </c>
    </row>
    <row r="85">
      <c r="A85" t="inlineStr">
        <is>
          <t>ISS084</t>
        </is>
      </c>
      <c r="B85" t="inlineStr">
        <is>
          <t>SKU096</t>
        </is>
      </c>
      <c r="C85" t="inlineStr">
        <is>
          <t>Aurelia Care Lip Balm</t>
        </is>
      </c>
      <c r="D85" t="inlineStr">
        <is>
          <t>Availability Issue</t>
        </is>
      </c>
      <c r="E85" t="inlineStr">
        <is>
          <t>Product is out of stock</t>
        </is>
      </c>
      <c r="F85" t="inlineStr">
        <is>
          <t>High</t>
        </is>
      </c>
      <c r="G85" t="inlineStr">
        <is>
          <t>2026-09-25</t>
        </is>
      </c>
      <c r="H85" t="inlineStr">
        <is>
          <t>Resolved</t>
        </is>
      </c>
      <c r="I85" t="inlineStr">
        <is>
          <t>Check inventory availability</t>
        </is>
      </c>
      <c r="J85" t="inlineStr">
        <is>
          <t>2026-09-25</t>
        </is>
      </c>
    </row>
    <row r="86">
      <c r="A86" t="inlineStr">
        <is>
          <t>ISS085</t>
        </is>
      </c>
      <c r="B86" t="inlineStr">
        <is>
          <t>SKU097</t>
        </is>
      </c>
      <c r="C86" t="inlineStr">
        <is>
          <t>DermaGlow Face Wash</t>
        </is>
      </c>
      <c r="D86" t="inlineStr">
        <is>
          <t>Content Issue</t>
        </is>
      </c>
      <c r="E86" t="inlineStr">
        <is>
          <t>One or more listing content fields are incomplete</t>
        </is>
      </c>
      <c r="F86" t="inlineStr">
        <is>
          <t>Medium</t>
        </is>
      </c>
      <c r="G86" t="inlineStr">
        <is>
          <t>2026-09-25</t>
        </is>
      </c>
      <c r="H86" t="inlineStr">
        <is>
          <t>Open</t>
        </is>
      </c>
      <c r="I86" t="inlineStr">
        <is>
          <t>Update missing content</t>
        </is>
      </c>
    </row>
    <row r="87">
      <c r="A87" t="inlineStr">
        <is>
          <t>ISS086</t>
        </is>
      </c>
      <c r="B87" t="inlineStr">
        <is>
          <t>SKU100</t>
        </is>
      </c>
      <c r="C87" t="inlineStr">
        <is>
          <t>Aurelia Care Hair Serum</t>
        </is>
      </c>
      <c r="D87" t="inlineStr">
        <is>
          <t>Availability Issue</t>
        </is>
      </c>
      <c r="E87" t="inlineStr">
        <is>
          <t>Product is out of stock</t>
        </is>
      </c>
      <c r="F87" t="inlineStr">
        <is>
          <t>High</t>
        </is>
      </c>
      <c r="G87" t="inlineStr">
        <is>
          <t>2026-09-25</t>
        </is>
      </c>
      <c r="H87" t="inlineStr">
        <is>
          <t>Resolved</t>
        </is>
      </c>
      <c r="I87" t="inlineStr">
        <is>
          <t>Check inventory availability</t>
        </is>
      </c>
      <c r="J87" t="inlineStr">
        <is>
          <t>2026-09-25</t>
        </is>
      </c>
    </row>
  </sheetData>
  <autoFilter ref="A1:J87"/>
  <conditionalFormatting sqref="F2:F87">
    <cfRule type="cellIs" priority="1" operator="equal" dxfId="0">
      <formula>"High"</formula>
    </cfRule>
  </conditionalFormatting>
  <conditionalFormatting sqref="H2:H87">
    <cfRule type="cellIs" priority="2" operator="equal" dxfId="1">
      <formula>"Resolved"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4" max="4"/>
    <col width="18" customWidth="1" min="5" max="5"/>
    <col width="28" customWidth="1" min="7" max="7"/>
    <col width="18" customWidth="1" min="8" max="8"/>
  </cols>
  <sheetData>
    <row r="1">
      <c r="A1" s="4" t="inlineStr">
        <is>
          <t>Marketplace Operations Summary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6" t="inlineStr">
        <is>
          <t>Total SKUs</t>
        </is>
      </c>
      <c r="B3" s="7">
        <f>COUNTA(Product_Data!A2:A101)</f>
        <v/>
      </c>
      <c r="C3" s="5" t="n"/>
      <c r="D3" s="8" t="inlineStr">
        <is>
          <t>Listing Status</t>
        </is>
      </c>
      <c r="E3" s="5" t="n"/>
      <c r="F3" s="5" t="n"/>
      <c r="G3" s="8" t="inlineStr">
        <is>
          <t>Priority</t>
        </is>
      </c>
      <c r="H3" s="5" t="n"/>
    </row>
    <row r="4">
      <c r="A4" s="6" t="inlineStr">
        <is>
          <t>Live Listings</t>
        </is>
      </c>
      <c r="B4" s="7">
        <f>COUNTIF(Product_Data!I2:I101,"Live")</f>
        <v/>
      </c>
      <c r="C4" s="5" t="n"/>
      <c r="D4" s="5" t="inlineStr">
        <is>
          <t>Status</t>
        </is>
      </c>
      <c r="E4" s="5" t="inlineStr">
        <is>
          <t>Count</t>
        </is>
      </c>
      <c r="F4" s="5" t="n"/>
      <c r="G4" s="5" t="inlineStr">
        <is>
          <t>Priority</t>
        </is>
      </c>
      <c r="H4" s="5" t="inlineStr">
        <is>
          <t>Count</t>
        </is>
      </c>
    </row>
    <row r="5">
      <c r="A5" s="6" t="inlineStr">
        <is>
          <t>Inactive Listings</t>
        </is>
      </c>
      <c r="B5" s="7">
        <f>COUNTIF(Product_Data!I2:I101,"Inactive")</f>
        <v/>
      </c>
      <c r="C5" s="5" t="n"/>
      <c r="D5" s="5" t="inlineStr">
        <is>
          <t>Live</t>
        </is>
      </c>
      <c r="E5" s="5">
        <f>COUNTIF(Product_Data!I:I,D5)</f>
        <v/>
      </c>
      <c r="F5" s="5" t="n"/>
      <c r="G5" s="5" t="inlineStr">
        <is>
          <t>High</t>
        </is>
      </c>
      <c r="H5" s="5">
        <f>COUNTIF(Product_Data!Q:Q,G5)</f>
        <v/>
      </c>
    </row>
    <row r="6">
      <c r="A6" s="6" t="inlineStr">
        <is>
          <t>Suppressed Listings</t>
        </is>
      </c>
      <c r="B6" s="7">
        <f>COUNTIF(Product_Data!I2:I101,"Suppressed")</f>
        <v/>
      </c>
      <c r="C6" s="5" t="n"/>
      <c r="D6" s="5" t="inlineStr">
        <is>
          <t>Inactive</t>
        </is>
      </c>
      <c r="E6" s="5">
        <f>COUNTIF(Product_Data!I:I,D6)</f>
        <v/>
      </c>
      <c r="F6" s="5" t="n"/>
      <c r="G6" s="5" t="inlineStr">
        <is>
          <t>Medium</t>
        </is>
      </c>
      <c r="H6" s="5">
        <f>COUNTIF(Product_Data!Q:Q,G6)</f>
        <v/>
      </c>
    </row>
    <row r="7">
      <c r="A7" s="6" t="inlineStr">
        <is>
          <t>Listings With Issues</t>
        </is>
      </c>
      <c r="B7" s="7">
        <f>COUNTIF(Product_Data!P2:P101,"&lt;&gt;No Issue")</f>
        <v/>
      </c>
      <c r="C7" s="5" t="n"/>
      <c r="D7" s="5" t="inlineStr">
        <is>
          <t>Suppressed</t>
        </is>
      </c>
      <c r="E7" s="5">
        <f>COUNTIF(Product_Data!I:I,D7)</f>
        <v/>
      </c>
      <c r="F7" s="5" t="n"/>
      <c r="G7" s="5" t="inlineStr">
        <is>
          <t>Low</t>
        </is>
      </c>
      <c r="H7" s="5">
        <f>COUNTIF(Product_Data!Q:Q,G7)</f>
        <v/>
      </c>
    </row>
    <row r="8">
      <c r="A8" s="6" t="inlineStr">
        <is>
          <t>Average Rating</t>
        </is>
      </c>
      <c r="B8" s="9">
        <f>AVERAGE(Product_Data!F2:F101)</f>
        <v/>
      </c>
      <c r="C8" s="5" t="n"/>
      <c r="D8" s="5" t="n"/>
      <c r="E8" s="5" t="n"/>
      <c r="F8" s="5" t="n"/>
      <c r="G8" s="5" t="n"/>
      <c r="H8" s="5" t="n"/>
    </row>
    <row r="9">
      <c r="A9" s="6" t="inlineStr">
        <is>
          <t>Average Content Completeness</t>
        </is>
      </c>
      <c r="B9" s="10">
        <f>AVERAGE(Product_Data!O2:O101)</f>
        <v/>
      </c>
      <c r="C9" s="5" t="n"/>
      <c r="D9" s="5" t="n"/>
      <c r="E9" s="5" t="n"/>
      <c r="F9" s="5" t="n"/>
      <c r="G9" s="5" t="n"/>
      <c r="H9" s="5" t="n"/>
    </row>
    <row r="10">
      <c r="A10" s="6" t="inlineStr">
        <is>
          <t>Open Issues</t>
        </is>
      </c>
      <c r="B10" s="7">
        <f>COUNTIF(Issue_Tracker!H:H,"Open")</f>
        <v/>
      </c>
      <c r="C10" s="5" t="n"/>
      <c r="D10" s="8" t="inlineStr">
        <is>
          <t>Issue Type</t>
        </is>
      </c>
      <c r="E10" s="5" t="n"/>
      <c r="F10" s="5" t="n"/>
      <c r="G10" s="5" t="n"/>
      <c r="H10" s="5" t="n"/>
    </row>
    <row r="11">
      <c r="A11" s="6" t="inlineStr">
        <is>
          <t>In Progress Issues</t>
        </is>
      </c>
      <c r="B11" s="7">
        <f>COUNTIF(Issue_Tracker!H:H,"In Progress")</f>
        <v/>
      </c>
      <c r="C11" s="5" t="n"/>
      <c r="D11" s="5" t="inlineStr">
        <is>
          <t>Issue Type</t>
        </is>
      </c>
      <c r="E11" s="5" t="inlineStr">
        <is>
          <t>Count</t>
        </is>
      </c>
      <c r="F11" s="5" t="n"/>
      <c r="G11" s="5" t="n"/>
      <c r="H11" s="5" t="n"/>
    </row>
    <row r="12">
      <c r="A12" s="6" t="inlineStr">
        <is>
          <t>Resolved Issues</t>
        </is>
      </c>
      <c r="B12" s="7">
        <f>COUNTIF(Issue_Tracker!H:H,"Resolved")</f>
        <v/>
      </c>
      <c r="C12" s="5" t="n"/>
      <c r="D12" s="5" t="inlineStr">
        <is>
          <t>No Issue</t>
        </is>
      </c>
      <c r="E12" s="5">
        <f>COUNTIF(Product_Data!P:P,D12)</f>
        <v/>
      </c>
      <c r="F12" s="5" t="n"/>
      <c r="G12" s="5" t="n"/>
      <c r="H12" s="5" t="n"/>
    </row>
    <row r="13">
      <c r="A13" s="5" t="n"/>
      <c r="B13" s="5" t="n"/>
      <c r="C13" s="5" t="n"/>
      <c r="D13" s="5" t="inlineStr">
        <is>
          <t>Content Issue</t>
        </is>
      </c>
      <c r="E13" s="5">
        <f>COUNTIF(Product_Data!P:P,D13)</f>
        <v/>
      </c>
      <c r="F13" s="5" t="n"/>
      <c r="G13" s="5" t="n"/>
      <c r="H13" s="5" t="n"/>
    </row>
    <row r="14">
      <c r="A14" s="5" t="n"/>
      <c r="B14" s="5" t="n"/>
      <c r="C14" s="5" t="n"/>
      <c r="D14" s="5" t="inlineStr">
        <is>
          <t>Availability Issue</t>
        </is>
      </c>
      <c r="E14" s="5">
        <f>COUNTIF(Product_Data!P:P,D14)</f>
        <v/>
      </c>
      <c r="F14" s="5" t="n"/>
      <c r="G14" s="5" t="n"/>
      <c r="H14" s="5" t="n"/>
    </row>
    <row r="15">
      <c r="A15" s="5" t="n"/>
      <c r="B15" s="5" t="n"/>
      <c r="C15" s="5" t="n"/>
      <c r="D15" s="5" t="inlineStr">
        <is>
          <t>Listing Issue</t>
        </is>
      </c>
      <c r="E15" s="5">
        <f>COUNTIF(Product_Data!P:P,D15)</f>
        <v/>
      </c>
      <c r="F15" s="5" t="n"/>
      <c r="G15" s="5" t="n"/>
      <c r="H15" s="5" t="n"/>
    </row>
    <row r="16">
      <c r="A16" s="5" t="n"/>
      <c r="B16" s="5" t="n"/>
      <c r="C16" s="5" t="n"/>
      <c r="D16" s="5" t="inlineStr">
        <is>
          <t>Attribute Issue</t>
        </is>
      </c>
      <c r="E16" s="5">
        <f>COUNTIF(Product_Data!P:P,D16)</f>
        <v/>
      </c>
      <c r="F16" s="5" t="n"/>
      <c r="G16" s="5" t="n"/>
      <c r="H16" s="5" t="n"/>
    </row>
    <row r="17">
      <c r="A17" s="5" t="n"/>
      <c r="B17" s="5" t="n"/>
      <c r="C17" s="5" t="n"/>
      <c r="D17" s="5" t="inlineStr">
        <is>
          <t>Rating Issue</t>
        </is>
      </c>
      <c r="E17" s="5">
        <f>COUNTIF(Product_Data!P:P,D17)</f>
        <v/>
      </c>
      <c r="F17" s="5" t="n"/>
      <c r="G17" s="5" t="n"/>
      <c r="H17" s="5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1" t="inlineStr">
        <is>
          <t>E-commerce Marketplace Operations Dashboard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12" t="inlineStr">
        <is>
          <t>Simulated portfolio project — marketplace catalog health, issue tracking and review analysis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13" t="inlineStr">
        <is>
          <t>Total SKUs</t>
        </is>
      </c>
      <c r="B4" s="5" t="n"/>
      <c r="C4" s="13" t="inlineStr">
        <is>
          <t>Live Listings</t>
        </is>
      </c>
      <c r="D4" s="5" t="n"/>
      <c r="E4" s="13" t="inlineStr">
        <is>
          <t>Suppressed</t>
        </is>
      </c>
      <c r="F4" s="5" t="n"/>
      <c r="G4" s="13" t="inlineStr">
        <is>
          <t>Listings With Issues</t>
        </is>
      </c>
      <c r="H4" s="5" t="n"/>
    </row>
    <row r="5">
      <c r="A5" s="4">
        <f>Summary!B3</f>
        <v/>
      </c>
      <c r="B5" s="5" t="n"/>
      <c r="C5" s="4">
        <f>Summary!B4</f>
        <v/>
      </c>
      <c r="D5" s="5" t="n"/>
      <c r="E5" s="4">
        <f>Summary!B6</f>
        <v/>
      </c>
      <c r="F5" s="5" t="n"/>
      <c r="G5" s="4">
        <f>Summary!B7</f>
        <v/>
      </c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13" t="inlineStr">
        <is>
          <t>Avg Rating</t>
        </is>
      </c>
      <c r="B7" s="5" t="n"/>
      <c r="C7" s="13" t="inlineStr">
        <is>
          <t>Content Completeness</t>
        </is>
      </c>
      <c r="D7" s="5" t="n"/>
      <c r="E7" s="13" t="inlineStr">
        <is>
          <t>Open Issues</t>
        </is>
      </c>
      <c r="F7" s="5" t="n"/>
      <c r="G7" s="13" t="inlineStr">
        <is>
          <t>Resolved Issues</t>
        </is>
      </c>
      <c r="H7" s="5" t="n"/>
    </row>
    <row r="8">
      <c r="A8" s="14">
        <f>Summary!B8</f>
        <v/>
      </c>
      <c r="B8" s="5" t="n"/>
      <c r="C8" s="15">
        <f>Summary!B9</f>
        <v/>
      </c>
      <c r="D8" s="5" t="n"/>
      <c r="E8" s="4">
        <f>Summary!B10</f>
        <v/>
      </c>
      <c r="F8" s="5" t="n"/>
      <c r="G8" s="4">
        <f>Summary!B12</f>
        <v/>
      </c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16" t="inlineStr">
        <is>
          <t>Listing Status Summary</t>
        </is>
      </c>
      <c r="B11" s="5" t="n"/>
      <c r="C11" s="5" t="n"/>
      <c r="D11" s="16" t="inlineStr">
        <is>
          <t>Issue Type Summary</t>
        </is>
      </c>
      <c r="E11" s="5" t="n"/>
      <c r="F11" s="5" t="n"/>
      <c r="G11" s="16" t="inlineStr">
        <is>
          <t>Priority Summary</t>
        </is>
      </c>
      <c r="H11" s="5" t="n"/>
    </row>
    <row r="12">
      <c r="A12" s="5" t="inlineStr">
        <is>
          <t>Live</t>
        </is>
      </c>
      <c r="B12" s="5">
        <f>Summary!E5</f>
        <v/>
      </c>
      <c r="C12" s="5" t="n"/>
      <c r="D12" s="5" t="inlineStr">
        <is>
          <t>No Issue</t>
        </is>
      </c>
      <c r="E12" s="5">
        <f>Summary!E12</f>
        <v/>
      </c>
      <c r="F12" s="5" t="n"/>
      <c r="G12" s="5" t="inlineStr">
        <is>
          <t>High</t>
        </is>
      </c>
      <c r="H12" s="5">
        <f>Summary!H5</f>
        <v/>
      </c>
    </row>
    <row r="13">
      <c r="A13" s="5" t="inlineStr">
        <is>
          <t>Inactive</t>
        </is>
      </c>
      <c r="B13" s="5">
        <f>Summary!E6</f>
        <v/>
      </c>
      <c r="C13" s="5" t="n"/>
      <c r="D13" s="5" t="inlineStr">
        <is>
          <t>Content Issue</t>
        </is>
      </c>
      <c r="E13" s="5">
        <f>Summary!E13</f>
        <v/>
      </c>
      <c r="F13" s="5" t="n"/>
      <c r="G13" s="5" t="inlineStr">
        <is>
          <t>Medium</t>
        </is>
      </c>
      <c r="H13" s="5">
        <f>Summary!H6</f>
        <v/>
      </c>
    </row>
    <row r="14">
      <c r="A14" s="5" t="inlineStr">
        <is>
          <t>Suppressed</t>
        </is>
      </c>
      <c r="B14" s="5">
        <f>Summary!E7</f>
        <v/>
      </c>
      <c r="C14" s="5" t="n"/>
      <c r="D14" s="5" t="inlineStr">
        <is>
          <t>Availability Issue</t>
        </is>
      </c>
      <c r="E14" s="5">
        <f>Summary!E14</f>
        <v/>
      </c>
      <c r="F14" s="5" t="n"/>
      <c r="G14" s="5" t="inlineStr">
        <is>
          <t>Low</t>
        </is>
      </c>
      <c r="H14" s="5">
        <f>Summary!H7</f>
        <v/>
      </c>
    </row>
    <row r="15">
      <c r="A15" s="5" t="n"/>
      <c r="B15" s="5" t="n"/>
      <c r="C15" s="5" t="n"/>
      <c r="D15" s="5" t="inlineStr">
        <is>
          <t>Listing Issue</t>
        </is>
      </c>
      <c r="E15" s="5">
        <f>Summary!E15</f>
        <v/>
      </c>
      <c r="F15" s="5" t="n"/>
      <c r="G15" s="5" t="n"/>
      <c r="H15" s="5" t="n"/>
    </row>
    <row r="16">
      <c r="A16" s="5" t="n"/>
      <c r="B16" s="5" t="n"/>
      <c r="C16" s="5" t="n"/>
      <c r="D16" s="5" t="inlineStr">
        <is>
          <t>Attribute Issue</t>
        </is>
      </c>
      <c r="E16" s="5">
        <f>Summary!E16</f>
        <v/>
      </c>
      <c r="F16" s="5" t="n"/>
      <c r="G16" s="5" t="n"/>
      <c r="H16" s="5" t="n"/>
    </row>
    <row r="17">
      <c r="A17" s="5" t="n"/>
      <c r="B17" s="5" t="n"/>
      <c r="C17" s="5" t="n"/>
      <c r="D17" s="5" t="inlineStr">
        <is>
          <t>Rating Issue</t>
        </is>
      </c>
      <c r="E17" s="5">
        <f>Summary!E17</f>
        <v/>
      </c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16" t="inlineStr">
        <is>
          <t>Operational Review Checklist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s="5" t="inlineStr">
        <is>
          <t>• Audit inactive and suppressed listings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5" t="inlineStr">
        <is>
          <t>• Review incomplete product content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s="5" t="inlineStr">
        <is>
          <t>• Check out-of-stock products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s="5" t="inlineStr">
        <is>
          <t>• Review recurring low-rating / negative feedback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s="5" t="inlineStr">
        <is>
          <t>• Follow up on open marketplace issues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s="5" t="inlineStr">
        <is>
          <t>• Verify resolved issues and update trackers</t>
        </is>
      </c>
      <c r="B42" s="5" t="n"/>
      <c r="C42" s="5" t="n"/>
      <c r="D42" s="5" t="n"/>
      <c r="E42" s="5" t="n"/>
      <c r="F42" s="5" t="n"/>
      <c r="G42" s="5" t="n"/>
      <c r="H42" s="5" t="n"/>
    </row>
  </sheetData>
  <mergeCells count="24">
    <mergeCell ref="A39:E39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41:E41"/>
    <mergeCell ref="A37:E37"/>
    <mergeCell ref="A2:H2"/>
    <mergeCell ref="A42:E42"/>
    <mergeCell ref="A5:B5"/>
    <mergeCell ref="G5:H5"/>
    <mergeCell ref="A8:B8"/>
    <mergeCell ref="C8:D8"/>
    <mergeCell ref="A4:B4"/>
    <mergeCell ref="G4:H4"/>
    <mergeCell ref="C7:D7"/>
    <mergeCell ref="A38:E38"/>
    <mergeCell ref="E7:F7"/>
    <mergeCell ref="A40:E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2026-09-25T16:10:24Z</dcterms:created>
  <dcterms:modified xmlns:dcterms="http://purl.org/dc/terms/" xmlns:xsi="http://www.w3.org/2001/XMLSchema-instance" xsi:type="dcterms:W3CDTF">2026-09-25T16:10:24Z</dcterms:modified>
</cp:coreProperties>
</file>